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ria/Desktop/TFG CODI/"/>
    </mc:Choice>
  </mc:AlternateContent>
  <xr:revisionPtr revIDLastSave="0" documentId="8_{7FFD94D6-B63C-E94B-B029-26CD0DB8A95B}" xr6:coauthVersionLast="47" xr6:coauthVersionMax="47" xr10:uidLastSave="{00000000-0000-0000-0000-000000000000}"/>
  <bookViews>
    <workbookView xWindow="0" yWindow="500" windowWidth="14480" windowHeight="17500" xr2:uid="{00000000-000D-0000-FFFF-FFFF00000000}"/>
  </bookViews>
  <sheets>
    <sheet name="Dataset_base" sheetId="1" r:id="rId1"/>
    <sheet name="Descripció_columnes" sheetId="2" r:id="rId2"/>
    <sheet name="SNP_selected" sheetId="3" r:id="rId3"/>
    <sheet name="Summary_gene" sheetId="4" r:id="rId4"/>
    <sheet name="Summary_region" sheetId="5" r:id="rId5"/>
    <sheet name="Summary_allelic_change" sheetId="6" r:id="rId6"/>
    <sheet name="Functional_study" sheetId="7" r:id="rId7"/>
    <sheet name="Functional_study_sense_recompte" sheetId="8" r:id="rId8"/>
    <sheet name="Resum_resultats" sheetId="9" r:id="rId9"/>
    <sheet name="Criteris_prioritat" sheetId="10" r:id="rId10"/>
  </sheets>
  <definedNames>
    <definedName name="_xlnm._FilterDatabase" localSheetId="6" hidden="1">Functional_study!$R$1:$R$50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0" i="8" l="1"/>
  <c r="AM49" i="8"/>
  <c r="AM48" i="8"/>
  <c r="E3" i="4"/>
  <c r="AA60" i="8"/>
  <c r="AA59" i="8"/>
  <c r="AA58" i="8"/>
  <c r="AA57" i="8"/>
  <c r="S57" i="8"/>
  <c r="S56" i="8"/>
  <c r="S55" i="8"/>
  <c r="S54" i="8"/>
  <c r="AA60" i="7"/>
  <c r="AA59" i="7"/>
  <c r="AA58" i="7"/>
  <c r="AA57" i="7"/>
  <c r="S59" i="7"/>
  <c r="P57" i="7"/>
  <c r="S58" i="7"/>
  <c r="P56" i="7"/>
  <c r="S57" i="7"/>
  <c r="P55" i="7"/>
  <c r="I55" i="7"/>
  <c r="S56" i="7"/>
  <c r="P54" i="7"/>
  <c r="P53" i="7"/>
  <c r="S58" i="8" l="1"/>
  <c r="S60" i="7"/>
</calcChain>
</file>

<file path=xl/sharedStrings.xml><?xml version="1.0" encoding="utf-8"?>
<sst xmlns="http://schemas.openxmlformats.org/spreadsheetml/2006/main" count="4777" uniqueCount="356">
  <si>
    <t>chr</t>
  </si>
  <si>
    <t>pos_hg19</t>
  </si>
  <si>
    <t>rsID</t>
  </si>
  <si>
    <t>Human_reference_by_position</t>
  </si>
  <si>
    <t>Allele_string_by_rsID</t>
  </si>
  <si>
    <t>Haplotype_V_allele</t>
  </si>
  <si>
    <t>Haplotype_III_allele</t>
  </si>
  <si>
    <t>Haplotype_IV_allele</t>
  </si>
  <si>
    <t>Haplotype_VII_allele</t>
  </si>
  <si>
    <t>Neandertal_allele</t>
  </si>
  <si>
    <t>Denisovan_allele</t>
  </si>
  <si>
    <t>III_differs_from_reference</t>
  </si>
  <si>
    <t>III_matches_Neandertal</t>
  </si>
  <si>
    <t>variant_class</t>
  </si>
  <si>
    <t>pos_hg38</t>
  </si>
  <si>
    <t>gene</t>
  </si>
  <si>
    <t>functional_region</t>
  </si>
  <si>
    <t>Use_in_main_analysis</t>
  </si>
  <si>
    <t>Notes</t>
  </si>
  <si>
    <t>4</t>
  </si>
  <si>
    <t>rs73234995</t>
  </si>
  <si>
    <t>G</t>
  </si>
  <si>
    <t>G/C/T</t>
  </si>
  <si>
    <t>T</t>
  </si>
  <si>
    <t>Y</t>
  </si>
  <si>
    <t>SNP</t>
  </si>
  <si>
    <t>RNA5SP158</t>
  </si>
  <si>
    <t>downstream_gene_variant</t>
  </si>
  <si>
    <t xml:space="preserve">Y </t>
  </si>
  <si>
    <t>rs112133277</t>
  </si>
  <si>
    <t>A</t>
  </si>
  <si>
    <t>A/C/G</t>
  </si>
  <si>
    <t>upstream_gene_variant</t>
  </si>
  <si>
    <t>Cerca manual al·lel en mmc3 de N i D</t>
  </si>
  <si>
    <t>rs11736207</t>
  </si>
  <si>
    <t>G/A/T</t>
  </si>
  <si>
    <t>NA</t>
  </si>
  <si>
    <t>intergenic_or_not_annotated</t>
  </si>
  <si>
    <t>rs11721824</t>
  </si>
  <si>
    <t>G/A</t>
  </si>
  <si>
    <t>rs73235002</t>
  </si>
  <si>
    <t>TLR10</t>
  </si>
  <si>
    <t>rs4274855</t>
  </si>
  <si>
    <t>C</t>
  </si>
  <si>
    <t>C/G/T</t>
  </si>
  <si>
    <t>5_prime_UTR_variant</t>
  </si>
  <si>
    <t>rs11466640</t>
  </si>
  <si>
    <t>intron_variant</t>
  </si>
  <si>
    <t>rs112855872</t>
  </si>
  <si>
    <t>C/T</t>
  </si>
  <si>
    <t>rs11466617</t>
  </si>
  <si>
    <t>T/A/C</t>
  </si>
  <si>
    <t>rs11725309</t>
  </si>
  <si>
    <t>T/C</t>
  </si>
  <si>
    <t>rs73236616</t>
  </si>
  <si>
    <t>G/A/C</t>
  </si>
  <si>
    <t>TLR1</t>
  </si>
  <si>
    <t>3_prime_UTR_variant</t>
  </si>
  <si>
    <t>rs3924113</t>
  </si>
  <si>
    <t>rs5743593</t>
  </si>
  <si>
    <t>A/G</t>
  </si>
  <si>
    <t>rs5743592</t>
  </si>
  <si>
    <t>A/G/T</t>
  </si>
  <si>
    <t>rs5743585</t>
  </si>
  <si>
    <t>rs5743584</t>
  </si>
  <si>
    <t>rs5743580</t>
  </si>
  <si>
    <t>C/A/G/T</t>
  </si>
  <si>
    <t>rs5743571</t>
  </si>
  <si>
    <t>C/A/T</t>
  </si>
  <si>
    <t>rs5743565</t>
  </si>
  <si>
    <t>rs5743563</t>
  </si>
  <si>
    <t>A/C/G/T</t>
  </si>
  <si>
    <t>splice_polypyrimidine_tract_variant;intron_variant</t>
  </si>
  <si>
    <t>rs5743562</t>
  </si>
  <si>
    <t>rs5743560</t>
  </si>
  <si>
    <t>rs5743557</t>
  </si>
  <si>
    <t>rs5743556</t>
  </si>
  <si>
    <t>rs45588337</t>
  </si>
  <si>
    <t>rs113465719</t>
  </si>
  <si>
    <t>rs114719937</t>
  </si>
  <si>
    <t>G/A/C/T</t>
  </si>
  <si>
    <t>rs199704972</t>
  </si>
  <si>
    <t>rs73236625</t>
  </si>
  <si>
    <t>rs67837551</t>
  </si>
  <si>
    <t>rs11722788</t>
  </si>
  <si>
    <t>C/G</t>
  </si>
  <si>
    <t>rs11722813</t>
  </si>
  <si>
    <t>rs11722889</t>
  </si>
  <si>
    <t>rs11722836</t>
  </si>
  <si>
    <t>rs11725779</t>
  </si>
  <si>
    <t>rs56289835</t>
  </si>
  <si>
    <t>G/C</t>
  </si>
  <si>
    <t>rs56408159</t>
  </si>
  <si>
    <t>T/A</t>
  </si>
  <si>
    <t>rs66922907</t>
  </si>
  <si>
    <t>rs66979032</t>
  </si>
  <si>
    <t>rs56339544</t>
  </si>
  <si>
    <t>N</t>
  </si>
  <si>
    <t>TLR6</t>
  </si>
  <si>
    <t>rs55695972</t>
  </si>
  <si>
    <t>rs5743789</t>
  </si>
  <si>
    <t>A/T</t>
  </si>
  <si>
    <t>rs55949304</t>
  </si>
  <si>
    <t>rs73236632</t>
  </si>
  <si>
    <t>rs184394410</t>
  </si>
  <si>
    <t>rs150471547</t>
  </si>
  <si>
    <t>rs58878980</t>
  </si>
  <si>
    <t>T/G</t>
  </si>
  <si>
    <t>rs182046336</t>
  </si>
  <si>
    <t>rs147900437</t>
  </si>
  <si>
    <t>rs117194006</t>
  </si>
  <si>
    <t>T/C/G</t>
  </si>
  <si>
    <t>rs117985012</t>
  </si>
  <si>
    <t>C/A</t>
  </si>
  <si>
    <t>rs73236646</t>
  </si>
  <si>
    <t>FAM114A1</t>
  </si>
  <si>
    <t>rs148268706</t>
  </si>
  <si>
    <t>rs145081133</t>
  </si>
  <si>
    <t>A/C</t>
  </si>
  <si>
    <t>rs371178220</t>
  </si>
  <si>
    <t>rs374541923</t>
  </si>
  <si>
    <t>rs139142852</t>
  </si>
  <si>
    <t>rs17582893</t>
  </si>
  <si>
    <t>rs17582921</t>
  </si>
  <si>
    <t>T/A/C/G</t>
  </si>
  <si>
    <t>rs117945558</t>
  </si>
  <si>
    <t>rs55938245</t>
  </si>
  <si>
    <t>Columna</t>
  </si>
  <si>
    <t>Descripció</t>
  </si>
  <si>
    <t>Cromosoma en què es troba la variant</t>
  </si>
  <si>
    <t>Posició genòmica en hg19/GRCh37: coordenada original de l’article</t>
  </si>
  <si>
    <t>Identificador rsID de la variant</t>
  </si>
  <si>
    <t>Base de la referència humana obtinguda a partir de la posició genòmica</t>
  </si>
  <si>
    <t>Cadena d’al·lels associada al rsID segons dbSNPs/Ensembl, útil per identificar SNPs o indels</t>
  </si>
  <si>
    <t>Al·lel present en el haplotip V</t>
  </si>
  <si>
    <t>Al·lel present en el haplotip III</t>
  </si>
  <si>
    <t>Al·lel present en el haplotip IV, informació contextual</t>
  </si>
  <si>
    <t>Al·lel present en el haplotip VII, informació contextual</t>
  </si>
  <si>
    <t>Al·lel present en el genoma de Neandertal segons l’article / validació</t>
  </si>
  <si>
    <t>Al·lel present en el genoma de Denisova segons l’article / validació</t>
  </si>
  <si>
    <t>Indica si el haplotip III difereix de la referència humana: Y/N</t>
  </si>
  <si>
    <t>Indica si el haplotip III coincideix amb l’al·lel neandertal: Y/N</t>
  </si>
  <si>
    <t>Classe de variant: SNP, indel, deletion, etc.</t>
  </si>
  <si>
    <t>Posició genòmica en hg38, si està disponible</t>
  </si>
  <si>
    <t>Gen associat a la variant</t>
  </si>
  <si>
    <t>Regió o conseqüència funcional segons anotació, per exemple intronic, upstream, missense</t>
  </si>
  <si>
    <t>Indica si la variant entra a l’anàlisi principal: Y/NO/CHECK</t>
  </si>
  <si>
    <t>Comentaris o decisions manuals</t>
  </si>
  <si>
    <t>Allelic_difference_REF_HIII</t>
  </si>
  <si>
    <t>G/T</t>
  </si>
  <si>
    <t>n_SNPs</t>
  </si>
  <si>
    <t>No_gene_assigned</t>
  </si>
  <si>
    <t>VEP_categoria_general</t>
  </si>
  <si>
    <t>Expressio_diferencial_S7</t>
  </si>
  <si>
    <t xml:space="preserve">gen_expressió </t>
  </si>
  <si>
    <t xml:space="preserve">FDR </t>
  </si>
  <si>
    <t>Interpretacio_expressio</t>
  </si>
  <si>
    <t>Associacions_GWAS_S9</t>
  </si>
  <si>
    <t>trait_GWAS</t>
  </si>
  <si>
    <t>categoria_GWAS</t>
  </si>
  <si>
    <t>Haplotips_presents</t>
  </si>
  <si>
    <t>RegulomeDB_rank</t>
  </si>
  <si>
    <t>RegulomeDB_score</t>
  </si>
  <si>
    <t>RegulomeDB_peaks</t>
  </si>
  <si>
    <t>RegulomeDB_QTL/eQTL</t>
  </si>
  <si>
    <t>Biosample_QTL</t>
  </si>
  <si>
    <t>Target_genes_RegulomeDB</t>
  </si>
  <si>
    <t>Chromatin_state_principal</t>
  </si>
  <si>
    <t>Chromatin_state_secundari</t>
  </si>
  <si>
    <t>ChIP_TF_binding</t>
  </si>
  <si>
    <t>ChIP_evidence</t>
  </si>
  <si>
    <t>Literatura_externa</t>
  </si>
  <si>
    <t>Article_extern</t>
  </si>
  <si>
    <t>Fenotip_literatura</t>
  </si>
  <si>
    <t>Tipus_evidencia_literatura</t>
  </si>
  <si>
    <t>Efecte_allel_reportat_literatura</t>
  </si>
  <si>
    <t>Citacio_APA</t>
  </si>
  <si>
    <t>Interpretacio_literatura</t>
  </si>
  <si>
    <t>Prioritat_final</t>
  </si>
  <si>
    <t>Justificacio_prioritat</t>
  </si>
  <si>
    <t>Reguladora proximal</t>
  </si>
  <si>
    <t xml:space="preserve"> -</t>
  </si>
  <si>
    <t xml:space="preserve"> -  </t>
  </si>
  <si>
    <t>-</t>
  </si>
  <si>
    <t xml:space="preserve"> - </t>
  </si>
  <si>
    <t>Intergènica</t>
  </si>
  <si>
    <t>3a</t>
  </si>
  <si>
    <t xml:space="preserve">N </t>
  </si>
  <si>
    <t>Quiescent/Low</t>
  </si>
  <si>
    <t>Weak transcription, Weak Repressed PolyComb</t>
  </si>
  <si>
    <t>RFX3</t>
  </si>
  <si>
    <t>UTR/reguladora</t>
  </si>
  <si>
    <t>SNP diferencial REF/HIII associat a expressió de TLR10 segons la Taula S7; candidat amb possible paper regulador, sense assumir causalitat directa.</t>
  </si>
  <si>
    <t>Helicobacter pylori serologic /self-reported allergy</t>
  </si>
  <si>
    <t>Infecció / resposta a patògens; Al·lèrgia / hipersensibilitat</t>
  </si>
  <si>
    <t>H3/H5</t>
  </si>
  <si>
    <t>eQTL</t>
  </si>
  <si>
    <t>lymphoblastoid cell line</t>
  </si>
  <si>
    <t>TLR1, TLR6, TLR10</t>
  </si>
  <si>
    <t xml:space="preserve">Weak Repressed PolyComb; Weak transcription; Enhancer </t>
  </si>
  <si>
    <t>Intrònica/no codificant</t>
  </si>
  <si>
    <t>Weak Repressed PolyComb; Weak transcription; Genic enhancer</t>
  </si>
  <si>
    <t>1f</t>
  </si>
  <si>
    <t>TLR1, TLR6, TLR10, Hs.214235</t>
  </si>
  <si>
    <t>Enhancer; Weak transcription</t>
  </si>
  <si>
    <t>WRNIP1; IKZF1; POLR2A; GATA1, KLF4</t>
  </si>
  <si>
    <t>Polymorphisms in Toll-Like Receptor 10 and Tuberculosis Susceptibility: Evidence from Three Independent Series; Association of toll-like receptor 10 polymorphisms with
pediatric pneumococcal meningitis</t>
  </si>
  <si>
    <t>Tuberculosi; meningitis pneuomocòccica pediàtrica</t>
  </si>
  <si>
    <t>Estudi d’associació genètica, susceptibilitat/progressió infecciosa</t>
  </si>
  <si>
    <t>Wang: C/efecte protector en TB, Xiang A&gt;G (probablement equivalència a T&gt;C per cadena complementaria)</t>
  </si>
  <si>
    <t>Wang  et al., (2018);   Xiang et al, (2020)</t>
  </si>
  <si>
    <t>Variant de TLR10 amb evidència externa en resposta a patògens: associada amb tuberculosi en Wang et al. (2018) i amb severitat de meningitis pneumocòccica en Xiang et al. (2020). L’al·lel G reportat per Xiang et al. podria correspondre al C del dataset per orientació de cadena. Evidència funcional complementària, sense establir causalitat directa ni efecte específic del haplotip III.</t>
  </si>
  <si>
    <t>H3/H4/H5</t>
  </si>
  <si>
    <t>1d</t>
  </si>
  <si>
    <t>Active TSS; Enhancer; Weak transcription</t>
  </si>
  <si>
    <t>POLR2A; SP11; BCLAF1; YY1; ELF1; STAT5A; MTA3; SMAD5; TAF1; IRF4</t>
  </si>
  <si>
    <t> Analysis of TLR10 gene polymorphisms in patients with rheumatoid arthritis </t>
  </si>
  <si>
    <t>Artritits reumatoide; inflamació sistèmica</t>
  </si>
  <si>
    <t>Estudi d'associació genètica; associació amb marcador inflamatori</t>
  </si>
  <si>
    <t>El genotip CT s’associa amb nivells més elevats de CRP en pacients amb artritis reumatoide; no hi ha associació clara del SNP amb susceptibilitat global a RA</t>
  </si>
  <si>
    <t>He et al., 2024</t>
  </si>
  <si>
    <t>Variant de TLR10 amb evidència externa relacionada amb modulació de la inflamació en artritis reumatoide. L’associació més robusta reportada és entre el genotip CT i nivells més elevats de CRP. Aquesta evidència reforça l’interès funcional del SNP en context immune/inflamatori, però no permet establir causalitat directa ni atribuir un efecte protector específic a l’al·lel C del haplotip III.</t>
  </si>
  <si>
    <t xml:space="preserve">TLR1 </t>
  </si>
  <si>
    <t>SNP diferencial REF/HIII associat a expressió de TLR1 segons la Taula S7; candidat amb possible paper regulador, sense assumir causalitat directa.</t>
  </si>
  <si>
    <t>Quiescent/Low; Weak transcription</t>
  </si>
  <si>
    <t>Heterochromatin; weak Repressed PolyComb</t>
  </si>
  <si>
    <t>EBF1; JUNB</t>
  </si>
  <si>
    <t> lymphoblastoid cell line; liver</t>
  </si>
  <si>
    <t>Heterochromatin; Enhancer/genic enhancer minoritari</t>
  </si>
  <si>
    <t>JUNB</t>
  </si>
  <si>
    <t>Quiescent/Low; Heterochromatin</t>
  </si>
  <si>
    <t>Active TSS; Weak Transcription, Active TSS</t>
  </si>
  <si>
    <t>NFE2; ZNF592; NFE2L1; ZNF687; POLR2A; TRIM28; ID3; NR4A1; ZNF316; NR2C1</t>
  </si>
  <si>
    <t>Quiescent/Low; Active TSS</t>
  </si>
  <si>
    <t>Flanking Active TSS; Enhancer; Weak transcription</t>
  </si>
  <si>
    <t>POLR2A; FOXA1; CHD1; RXRA; ZNF592; ZBTB40; PAX8; HNF4A; ZBTB33; SMARCA5</t>
  </si>
  <si>
    <t>1b</t>
  </si>
  <si>
    <t>Active TSS; Quiescent/Low; Flanking Active TSS</t>
  </si>
  <si>
    <t>Enhancer</t>
  </si>
  <si>
    <t xml:space="preserve">POLR2A; IKZF1; FOS, POU2F2; TAF1; EBF1; PAX5; YY1; FOXM1; TBL1XR1 </t>
  </si>
  <si>
    <t>Splicing</t>
  </si>
  <si>
    <t>1c</t>
  </si>
  <si>
    <t>Active TSS/ Flanking Active TSS</t>
  </si>
  <si>
    <t>POLR2A; EP300; TAF1; IKZF1; EBF1</t>
  </si>
  <si>
    <t>No</t>
  </si>
  <si>
    <t>Active TSS; Flanking Active TSS; Quiescent/Low</t>
  </si>
  <si>
    <t>POLR2A; CTCF; IKZF1; EBF1; STAT5A; EP300; IKZF2; ELF1; ATF2; NFATC1</t>
  </si>
  <si>
    <t>Quiescent Low</t>
  </si>
  <si>
    <t>Flanking Active TSS; Active TSS; Enhancer</t>
  </si>
  <si>
    <t>CTCF; POLR2A; ATF2; BCL11A; STAT3; SMC3; ATF7; HDGF; SMARCA4; CBX5</t>
  </si>
  <si>
    <t>The impact of the toll-like receptor 1 (TLR1) variation rs5743557 on tuberculosis susceptibility in the Thai population</t>
  </si>
  <si>
    <t>Tuberculosi</t>
  </si>
  <si>
    <t>Estudi d'associació genètica</t>
  </si>
  <si>
    <t>Tendència de menor susceptibilitat a TB per l’al·lel A, no significativa</t>
  </si>
  <si>
    <t>Saengchart et al., 2025</t>
  </si>
  <si>
    <t>Variant de TLR1 amb literatura externa relacionada amb susceptibilitat a tuberculosi. L’estudi en població tailandesa suggereix una tendència protectora de l’al·lel A, però sense significació estadística; per tant, s’interpreta com a evidència complementària feble/moderada, no com a prova funcional causal.</t>
  </si>
  <si>
    <t>Quiescent/Low; Flanking Active TSS; Active TSS</t>
  </si>
  <si>
    <t>2.6 E-23</t>
  </si>
  <si>
    <t>Quiescent/Low; Flanking Active TSS</t>
  </si>
  <si>
    <t>Enhancer; Active TSS</t>
  </si>
  <si>
    <t>POLR2A; GABPA; RELA; IKZF1; TAF1; MAX; POU2FS; PAX5; SPI1; RAD21</t>
  </si>
  <si>
    <t>COMMD3-BMI1, BMI1; BHLHE40</t>
  </si>
  <si>
    <t>Weak Repressed PolyComb</t>
  </si>
  <si>
    <t>ZBTB33</t>
  </si>
  <si>
    <t xml:space="preserve">Helicobacter pylori serologic </t>
  </si>
  <si>
    <t>Infecció / resposta a patògens</t>
  </si>
  <si>
    <t>Weak transcription; Weak Repressed PolyComb</t>
  </si>
  <si>
    <t>ZNF140</t>
  </si>
  <si>
    <t>Allergic rhinitis and genetic components: focus on Toll-like receptors (TLRs) gene polymorphism</t>
  </si>
  <si>
    <t>Asma atòpica/ malalties al·lèrgiques</t>
  </si>
  <si>
    <t>revisió d'associacions genètiques</t>
  </si>
  <si>
    <t>rs5743789 de TLR6 ha estat associat prèviament amb asma atòpica; l’article el descriu com una variant en regió promotora</t>
  </si>
  <si>
    <t>Gao et al., 2010</t>
  </si>
  <si>
    <r>
      <t xml:space="preserve">Variant de </t>
    </r>
    <r>
      <rPr>
        <b/>
        <sz val="11"/>
        <color theme="1"/>
        <rFont val="Calibri"/>
        <family val="2"/>
        <scheme val="minor"/>
      </rPr>
      <t>TLR6</t>
    </r>
    <r>
      <rPr>
        <sz val="11"/>
        <color theme="1"/>
        <rFont val="Calibri"/>
        <family val="2"/>
        <scheme val="minor"/>
      </rPr>
      <t xml:space="preserve"> amb evidència bibliogràfica externa relacionada amb fenotips al·lèrgics/asmàtics. Com que es localitza en regió promotora, reforça l’interès funcional del SNP com a possible variant reguladora, sense establir causalitat directa ni atribuir l’efecte específicament al haplotip III.</t>
    </r>
  </si>
  <si>
    <t>Weak Transcription; Enhancers</t>
  </si>
  <si>
    <t>Quiescent/Low; Weak Repressed PolyComb; Flanking Active TSS</t>
  </si>
  <si>
    <t>RBFOX2</t>
  </si>
  <si>
    <t>Helicobacter pylori serologic / self-reported allergy / suicide attempts in bipolar disorder</t>
  </si>
  <si>
    <t>Infecció / resposta a patògens; Al·lèrgia / hipersensibilitat; Altres</t>
  </si>
  <si>
    <t xml:space="preserve">Helicobacter pylori serologic / self-reported allergy </t>
  </si>
  <si>
    <t>Strong transcription; Enhancer</t>
  </si>
  <si>
    <t>HNF4A; NFIC; MYBL2; SPI1; RXRA; GTF2FQ; NCOR1; IKZF1; ZBTB33; SMARCA4</t>
  </si>
  <si>
    <t>Expressió diferencial TLR (taula S7 Dannemann et al. (2016))</t>
  </si>
  <si>
    <t>Associacions GWAS (Taula S9  Dannemann et al. (2016))</t>
  </si>
  <si>
    <t>Total SNPs diferencials</t>
  </si>
  <si>
    <t>Presenten associació</t>
  </si>
  <si>
    <t>Recompte score RegulomeDB</t>
  </si>
  <si>
    <t>Expressió diferencial</t>
  </si>
  <si>
    <t xml:space="preserve">No </t>
  </si>
  <si>
    <t>Regulome favorable / rank ≤ 4</t>
  </si>
  <si>
    <t>Al·lèrgia</t>
  </si>
  <si>
    <t>Rank  = 5</t>
  </si>
  <si>
    <t>Associats a expressió de TLR1</t>
  </si>
  <si>
    <t>Helicobacter</t>
  </si>
  <si>
    <t>Rank =6</t>
  </si>
  <si>
    <t>Recompte de prioritats</t>
  </si>
  <si>
    <t>Associats a expressió de TLR10</t>
  </si>
  <si>
    <t>Altres fenotips</t>
  </si>
  <si>
    <t>Rank 0 7</t>
  </si>
  <si>
    <t>Alta</t>
  </si>
  <si>
    <t>Associats a expressió de TLR6</t>
  </si>
  <si>
    <t>No seleccionats</t>
  </si>
  <si>
    <t>Mitjana</t>
  </si>
  <si>
    <t>Baixa</t>
  </si>
  <si>
    <t>Externa</t>
  </si>
  <si>
    <t>Baixa: no presenta evidència funcional addicional clara en S7/S9, RegulomeDB favorable o literatura externa rellevant; interpretació limitada a la localització funcional.</t>
  </si>
  <si>
    <t>Mitjana: no presenta evidència directa en S7/S9, però sí suport funcional regulador extern (RegulomeDB favorable (rank 3a); ChIP/TF binding (RFX3); estat de cromatina compatible amb regulació); per això s'integra com a prioritat mitjana i no com a categoria independent.</t>
  </si>
  <si>
    <t>Alta: variant amb evidència convergent o suport funcional acumulat (evidència d'expressió diferencial de TLR10 (S7); associació fenotípica/GWAS (S9) amb Helicobacter pylori serologic /self-reported allergy; RegulomeDB limitat (rank 7); eQTL); candidata prioritària sense assumir causalitat directa.</t>
  </si>
  <si>
    <t>Alta: variant amb evidència convergent o suport funcional acumulat (evidència d'expressió diferencial de TLR10 (S7); associació fenotípica/GWAS (S9) amb Helicobacter pylori serologic /self-reported allergy; RegulomeDB limitat (rank 6); eQTL); candidata prioritària sense assumir causalitat directa.</t>
  </si>
  <si>
    <t>Alta: variant amb evidència convergent o suport funcional acumulat (evidència d'expressió diferencial de TLR10 (S7); associació fenotípica/GWAS (S9) amb Helicobacter pylori serologic /self-reported allergy; RegulomeDB favorable (rank 1f); eQTL; ChIP/TF binding; literatura externa (Tuberculosi; meningitis pneuomocòccica pediàtrica)); candidata prioritària sense assumir causalitat directa.</t>
  </si>
  <si>
    <t>Alta: variant amb evidència convergent o suport funcional acumulat (associació fenotípica/GWAS (S9) amb Helicobacter pylori serologic /self-reported allergy; RegulomeDB favorable (rank 1d); eQTL; ChIP/TF binding; literatura externa (Artritits reumatoide; inflamació sistèmica)); candidata prioritària sense assumir causalitat directa.</t>
  </si>
  <si>
    <t>Mitjana: presenta una font principal d'evidència funcional o literatura contextual (evidència d'expressió diferencial de TLR1 (S7); RegulomeDB limitat (rank 6)), però el suport és parcial i no permet considerar-la candidata principal.</t>
  </si>
  <si>
    <t>Mitjana: presenta una font principal d'evidència funcional o literatura contextual (evidència d'expressió diferencial de TLR1 (S7); RegulomeDB favorable (rank 3a); ChIP/TF binding), però el suport és parcial i no permet considerar-la candidata principal.</t>
  </si>
  <si>
    <t>Alta: variant amb evidència convergent o suport funcional acumulat (evidència d'expressió diferencial de TLR1 (S7); associació fenotípica/GWAS (S9) amb Helicobacter pylori serologic /self-reported allergy; RegulomeDB favorable (rank 1f); eQTL; ChIP/TF binding); candidata prioritària sense assumir causalitat directa.</t>
  </si>
  <si>
    <t>Mitjana: no presenta evidència directa en S7/S9, però sí suport funcional regulador extern (RegulomeDB favorable (rank 4); ChIP/TF binding (NFE2; ZNF592; NFE2L1; ZNF687; POLR2A; TRIM28; ID3; NR4A1; ZNF316; NR2C1); estat de cromatina compatible amb regulació); per això s'integra com a prioritat mitjana i no com a categoria independent.</t>
  </si>
  <si>
    <t>Alta: variant amb evidència convergent o suport funcional acumulat (evidència d'expressió diferencial de TLR1 (S7); associació fenotípica/GWAS (S9) amb Helicobacter pylori serologic /self-reported allergy; RegulomeDB favorable (rank 4); ChIP/TF binding); candidata prioritària sense assumir causalitat directa.</t>
  </si>
  <si>
    <t>Alta: variant amb evidència convergent o suport funcional acumulat (associació fenotípica/GWAS (S9) amb Helicobacter pylori serologic /self-reported allergy; RegulomeDB favorable (rank 1b); eQTL; ChIP/TF binding); candidata prioritària sense assumir causalitat directa.</t>
  </si>
  <si>
    <t>Alta: variant amb evidència convergent o suport funcional acumulat (evidència d'expressió diferencial de TLR1 (S7); associació fenotípica/GWAS (S9) amb Helicobacter pylori serologic /self-reported allergy; RegulomeDB favorable (rank 1c); eQTL; ChIP/TF binding); candidata prioritària sense assumir causalitat directa.</t>
  </si>
  <si>
    <t>Mitjana: presenta una font principal d'evidència funcional o literatura contextual (evidència d'expressió diferencial de TLR1 (S7); RegulomeDB favorable (rank 4); ChIP/TF binding), però el suport és parcial i no permet considerar-la candidata principal.</t>
  </si>
  <si>
    <t>Alta: variant amb evidència convergent o suport funcional acumulat (associació fenotípica/GWAS (S9) amb Helicobacter pylori serologic /self-reported allergy; RegulomeDB favorable (rank 1f); eQTL; ChIP/TF binding; literatura externa (Tuberculosi)); candidata prioritària sense assumir causalitat directa.</t>
  </si>
  <si>
    <t>Mitjana: no presenta evidència directa en S7/S9, però sí suport funcional regulador extern (RegulomeDB favorable (rank 4); ChIP/TF binding (POLR2A; CTCF; IKZF1; EBF1; STAT5A; EP300; IKZF2; ELF1; ATF2; NFATC1); estat de cromatina compatible amb regulació); per això s'integra com a prioritat mitjana i no com a categoria independent.</t>
  </si>
  <si>
    <t>Mitjana: no presenta evidència directa en S7/S9, però sí suport funcional regulador extern (RegulomeDB favorable (rank 3a); ChIP/TF binding (ZBTB33)); per això s'integra com a prioritat mitjana i no com a categoria independent.</t>
  </si>
  <si>
    <t>Mitjana: presenta una font principal d'evidència funcional o literatura contextual (evidència d'expressió diferencial de TLR1 (S7); RegulomeDB limitat (rank 7)), però el suport és parcial i no permet considerar-la candidata principal.</t>
  </si>
  <si>
    <t>Alta: variant amb evidència convergent o suport funcional acumulat (evidència d'expressió diferencial de TLR1 (S7); associació fenotípica/GWAS (S9) amb Helicobacter pylori serologic; RegulomeDB limitat (rank 7)); candidata prioritària sense assumir causalitat directa.</t>
  </si>
  <si>
    <t>Mitjana: presenta una font principal d'evidència funcional o literatura contextual (evidència d'expressió diferencial de TLR1 (S7); RegulomeDB limitat (rank 5)), però el suport és parcial i no permet considerar-la candidata principal.</t>
  </si>
  <si>
    <t>Mitjana: presenta una font principal d'evidència funcional o literatura contextual (RegulomeDB limitat (rank 7); literatura externa (Asma atòpica/ malalties al·lèrgiques)), però el suport és parcial i no permet considerar-la candidata principal.</t>
  </si>
  <si>
    <t>Mitjana: no presenta evidència directa en S7/S9, però sí suport funcional regulador extern (RegulomeDB favorable (rank 4); ChIP/TF binding (RBFOX2); estat de cromatina compatible amb regulació); per això s'integra com a prioritat mitjana i no com a categoria independent.</t>
  </si>
  <si>
    <t>Mitjana: presenta una font principal d'evidència funcional o literatura contextual (associació fenotípica/GWAS (S9) amb Helicobacter pylori serologic / self-reported allergy / suicide attempts in bipolar disorder; RegulomeDB limitat (rank 7)), però el suport és parcial i no permet considerar-la candidata principal.</t>
  </si>
  <si>
    <t>Mitjana: presenta una font principal d'evidència funcional o literatura contextual (associació fenotípica/GWAS (S9) amb Helicobacter pylori serologic / self-reported allergy; RegulomeDB limitat (rank 6)), però el suport és parcial i no permet considerar-la candidata principal.</t>
  </si>
  <si>
    <t>Mitjana: no presenta evidència directa en S7/S9, però sí suport funcional regulador extern (RegulomeDB favorable (rank 4); ChIP/TF binding (HNF4A; NFIC; MYBL2; SPI1; RXRA; GTF2FQ; NCOR1; IKZF1; ZBTB33; SMARCA4); estat de cromatina compatible amb regulació); per això s'integra com a prioritat mitjana i no com a categoria independent.</t>
  </si>
  <si>
    <t>Total_SNPs_diferencials</t>
  </si>
  <si>
    <t>Expressió_diferencial (S7)</t>
  </si>
  <si>
    <t>Associació_GWAS_(S9)</t>
  </si>
  <si>
    <t>Expressió_diferencial + associació_GWAS</t>
  </si>
  <si>
    <t>Categoria</t>
  </si>
  <si>
    <t>Criteri aplicat</t>
  </si>
  <si>
    <t>Interpretació</t>
  </si>
  <si>
    <t>No implica causalitat directa ni efecte específic de l'al·lel HIII</t>
  </si>
  <si>
    <t>RegulomeDB favorable rank ≤ 4</t>
  </si>
  <si>
    <t>Associats a clúster TLR</t>
  </si>
  <si>
    <t>Classificació segons criteris de prioritat</t>
  </si>
  <si>
    <t xml:space="preserve">Alta </t>
  </si>
  <si>
    <t>Tuberculosi; meningitis pneumocòccica pediàtrica</t>
  </si>
  <si>
    <t>Artritis reumatoide; inflamació sistèmica</t>
  </si>
  <si>
    <t>Rank 1-3</t>
  </si>
  <si>
    <t>Rank 4</t>
  </si>
  <si>
    <t>Rank ≤ 4 total</t>
  </si>
  <si>
    <t>Literatura externa</t>
  </si>
  <si>
    <t>Variant candidata amb suport funcional fort</t>
  </si>
  <si>
    <t>Variant amb interès funcional moderat</t>
  </si>
  <si>
    <t>Variant amb prioritat funcional reduïda</t>
  </si>
  <si>
    <t>Absència d’evidència funcional addicional clara d'expressió diferenical, associació fenotípica GWAs, RegulomeDB o literatura externa</t>
  </si>
  <si>
    <t>Una única font principal d’evidència funcional o suport parcial: només d'expressió diferencial, només associació fenotípica GWAS, literatura externa contextual o RegulomeDB rank ≤ 4 sense evidència convergent</t>
  </si>
  <si>
    <t>Evidència convergent: presència d'expressió diferencial + associació fenotípica GWAS, o associació fenotípica  reforçada per suport addicional fort, com RegulomeDB rank 1–3 o literatura externa rellevant</t>
  </si>
  <si>
    <t>El rank 4 de RegulomeDB es considera suport regulador moderat o possible, no fort</t>
  </si>
  <si>
    <t>Interpretació limitada a la diferència REF/HIII i a la localització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</si>
</sst>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</font>
    <font>
      <sz val="16"/>
      <color theme="1"/>
      <name val="Calibri"/>
      <family val="2"/>
    </font>
    <font>
      <b/>
      <sz val="20"/>
      <color theme="0"/>
      <name val="Calibri"/>
      <family val="2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6"/>
      <color theme="1"/>
      <name val="Calibri (Cuerpo)"/>
    </font>
    <font>
      <sz val="16"/>
      <color rgb="FF000000"/>
      <name val="Calibri (Cuerpo)"/>
    </font>
    <font>
      <b/>
      <sz val="11"/>
      <color theme="0"/>
      <name val="Calibri"/>
      <family val="2"/>
    </font>
    <font>
      <b/>
      <sz val="16"/>
      <color rgb="FFFFFFFF"/>
      <name val="Calibri (Cuerpo)"/>
    </font>
    <font>
      <b/>
      <sz val="16"/>
      <color rgb="FFFFFFFF"/>
      <name val="Calibri"/>
      <family val="2"/>
    </font>
    <font>
      <sz val="12"/>
      <color theme="1"/>
      <name val="Calibri"/>
      <family val="2"/>
    </font>
    <font>
      <b/>
      <sz val="14"/>
      <color rgb="FFFFFFFF"/>
      <name val="Calibri"/>
      <family val="2"/>
    </font>
    <font>
      <sz val="14"/>
      <color theme="1"/>
      <name val="Calibri"/>
      <family val="2"/>
    </font>
    <font>
      <sz val="11"/>
      <color theme="0"/>
      <name val="Calibri"/>
      <family val="2"/>
    </font>
    <font>
      <sz val="16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1"/>
      <color theme="1"/>
      <name val="Helvetica"/>
      <family val="2"/>
    </font>
    <font>
      <sz val="11"/>
      <color theme="1"/>
      <name val="Helvetica"/>
      <family val="2"/>
    </font>
  </fonts>
  <fills count="18">
    <fill>
      <patternFill patternType="none"/>
    </fill>
    <fill>
      <patternFill patternType="gray125"/>
    </fill>
    <fill>
      <patternFill patternType="solid">
        <fgColor rgb="FFFFCDD7"/>
      </patternFill>
    </fill>
    <fill>
      <patternFill patternType="solid">
        <fgColor rgb="FFFFFD9B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rgb="FFFCD88A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3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8" fillId="13" borderId="10" xfId="0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11" fontId="8" fillId="12" borderId="10" xfId="0" applyNumberFormat="1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15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0" fontId="20" fillId="16" borderId="10" xfId="0" applyFont="1" applyFill="1" applyBorder="1"/>
    <xf numFmtId="0" fontId="13" fillId="0" borderId="10" xfId="0" applyFont="1" applyBorder="1"/>
    <xf numFmtId="0" fontId="0" fillId="0" borderId="9" xfId="0" applyBorder="1"/>
    <xf numFmtId="0" fontId="6" fillId="0" borderId="12" xfId="0" applyFont="1" applyBorder="1"/>
    <xf numFmtId="0" fontId="15" fillId="0" borderId="1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15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1" fillId="16" borderId="4" xfId="0" applyFont="1" applyFill="1" applyBorder="1" applyAlignment="1">
      <alignment horizontal="center"/>
    </xf>
    <xf numFmtId="0" fontId="21" fillId="16" borderId="11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color theme="7" tint="-0.24994659260841701"/>
      </font>
      <fill>
        <patternFill>
          <bgColor theme="7" tint="0.59990234076967686"/>
        </patternFill>
      </fill>
    </dxf>
    <dxf>
      <font>
        <color theme="7" tint="-0.4999237037263100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0234076967686"/>
        </patternFill>
      </fill>
    </dxf>
    <dxf>
      <font>
        <color theme="7" tint="-0.4999237037263100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6" tint="-0.24994659260841701"/>
        </patternFill>
      </fill>
    </dxf>
    <dxf>
      <fill>
        <patternFill>
          <bgColor theme="6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0234076967686"/>
        </patternFill>
      </fill>
    </dxf>
    <dxf>
      <fill>
        <patternFill>
          <bgColor rgb="FFFFFD9B"/>
        </patternFill>
      </fill>
    </dxf>
    <dxf>
      <fill>
        <patternFill>
          <bgColor theme="4" tint="0.39994506668294322"/>
        </patternFill>
      </fill>
    </dxf>
    <dxf>
      <fill>
        <patternFill>
          <bgColor rgb="FFFFFD9B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D9B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D9B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D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DD7"/>
  </sheetPr>
  <dimension ref="A1:S66"/>
  <sheetViews>
    <sheetView tabSelected="1" topLeftCell="D1" zoomScale="25" workbookViewId="0">
      <selection activeCell="H63" sqref="H63"/>
    </sheetView>
  </sheetViews>
  <sheetFormatPr baseColWidth="10" defaultColWidth="8.83203125" defaultRowHeight="15"/>
  <cols>
    <col min="1" max="1" width="32.1640625" customWidth="1"/>
    <col min="2" max="2" width="36.6640625" customWidth="1"/>
    <col min="3" max="3" width="40.6640625" customWidth="1"/>
    <col min="4" max="4" width="31.33203125" customWidth="1"/>
    <col min="5" max="5" width="37.33203125" customWidth="1"/>
    <col min="6" max="6" width="33.6640625" customWidth="1"/>
    <col min="7" max="7" width="17" customWidth="1"/>
    <col min="8" max="8" width="23" customWidth="1"/>
    <col min="9" max="9" width="32.33203125" customWidth="1"/>
    <col min="10" max="10" width="31.33203125" customWidth="1"/>
    <col min="11" max="11" width="34" customWidth="1"/>
    <col min="12" max="12" width="51.6640625" customWidth="1"/>
    <col min="13" max="13" width="57" customWidth="1"/>
    <col min="14" max="14" width="16.6640625" customWidth="1"/>
    <col min="15" max="15" width="17.33203125" customWidth="1"/>
    <col min="16" max="16" width="42.1640625" customWidth="1"/>
    <col min="17" max="17" width="55.5" customWidth="1"/>
    <col min="18" max="18" width="76.83203125" customWidth="1"/>
    <col min="19" max="19" width="98.6640625" customWidth="1"/>
  </cols>
  <sheetData>
    <row r="1" spans="1:19" ht="26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</row>
    <row r="2" spans="1:19" ht="21">
      <c r="A2" s="2" t="s">
        <v>19</v>
      </c>
      <c r="B2" s="2">
        <v>38760338</v>
      </c>
      <c r="C2" s="2" t="s">
        <v>20</v>
      </c>
      <c r="D2" s="2" t="s">
        <v>21</v>
      </c>
      <c r="E2" s="2" t="s">
        <v>22</v>
      </c>
      <c r="F2" s="2" t="s">
        <v>21</v>
      </c>
      <c r="G2" s="3" t="s">
        <v>23</v>
      </c>
      <c r="H2" s="2" t="s">
        <v>21</v>
      </c>
      <c r="I2" s="2" t="s">
        <v>21</v>
      </c>
      <c r="J2" s="2" t="s">
        <v>23</v>
      </c>
      <c r="K2" s="2" t="s">
        <v>23</v>
      </c>
      <c r="L2" s="2" t="s">
        <v>24</v>
      </c>
      <c r="M2" s="2" t="s">
        <v>24</v>
      </c>
      <c r="N2" s="2" t="s">
        <v>25</v>
      </c>
      <c r="O2" s="2">
        <v>38758717</v>
      </c>
      <c r="P2" s="2" t="s">
        <v>26</v>
      </c>
      <c r="Q2" s="2" t="s">
        <v>27</v>
      </c>
      <c r="R2" s="2" t="s">
        <v>28</v>
      </c>
      <c r="S2" s="2"/>
    </row>
    <row r="3" spans="1:19" ht="21">
      <c r="A3" s="2" t="s">
        <v>19</v>
      </c>
      <c r="B3" s="2">
        <v>38765046</v>
      </c>
      <c r="C3" s="2" t="s">
        <v>29</v>
      </c>
      <c r="D3" s="2" t="s">
        <v>30</v>
      </c>
      <c r="E3" s="2" t="s">
        <v>31</v>
      </c>
      <c r="F3" s="2" t="s">
        <v>30</v>
      </c>
      <c r="G3" s="3" t="s">
        <v>21</v>
      </c>
      <c r="H3" s="2" t="s">
        <v>30</v>
      </c>
      <c r="I3" s="2" t="s">
        <v>21</v>
      </c>
      <c r="J3" s="2" t="s">
        <v>21</v>
      </c>
      <c r="K3" s="2" t="s">
        <v>21</v>
      </c>
      <c r="L3" s="2" t="s">
        <v>24</v>
      </c>
      <c r="M3" s="2" t="s">
        <v>24</v>
      </c>
      <c r="N3" s="2" t="s">
        <v>25</v>
      </c>
      <c r="O3" s="2">
        <v>38763425</v>
      </c>
      <c r="P3" s="2" t="s">
        <v>26</v>
      </c>
      <c r="Q3" s="2" t="s">
        <v>32</v>
      </c>
      <c r="R3" s="2" t="s">
        <v>28</v>
      </c>
      <c r="S3" s="2" t="s">
        <v>33</v>
      </c>
    </row>
    <row r="4" spans="1:19" ht="21">
      <c r="A4" s="2" t="s">
        <v>19</v>
      </c>
      <c r="B4" s="2">
        <v>38766285</v>
      </c>
      <c r="C4" s="2" t="s">
        <v>34</v>
      </c>
      <c r="D4" s="2" t="s">
        <v>21</v>
      </c>
      <c r="E4" s="2" t="s">
        <v>35</v>
      </c>
      <c r="F4" s="2" t="s">
        <v>21</v>
      </c>
      <c r="G4" s="3" t="s">
        <v>30</v>
      </c>
      <c r="H4" s="2" t="s">
        <v>21</v>
      </c>
      <c r="I4" s="2" t="s">
        <v>30</v>
      </c>
      <c r="J4" s="2" t="s">
        <v>30</v>
      </c>
      <c r="K4" s="2" t="s">
        <v>30</v>
      </c>
      <c r="L4" s="2" t="s">
        <v>24</v>
      </c>
      <c r="M4" s="2" t="s">
        <v>24</v>
      </c>
      <c r="N4" s="2" t="s">
        <v>25</v>
      </c>
      <c r="O4" s="2">
        <v>38764664</v>
      </c>
      <c r="P4" s="2" t="s">
        <v>36</v>
      </c>
      <c r="Q4" s="2" t="s">
        <v>37</v>
      </c>
      <c r="R4" s="2" t="s">
        <v>28</v>
      </c>
      <c r="S4" s="2"/>
    </row>
    <row r="5" spans="1:19" ht="21">
      <c r="A5" s="2" t="s">
        <v>19</v>
      </c>
      <c r="B5" s="2">
        <v>38767749</v>
      </c>
      <c r="C5" s="2" t="s">
        <v>38</v>
      </c>
      <c r="D5" s="2" t="s">
        <v>21</v>
      </c>
      <c r="E5" s="2" t="s">
        <v>39</v>
      </c>
      <c r="F5" s="2" t="s">
        <v>21</v>
      </c>
      <c r="G5" s="3" t="s">
        <v>30</v>
      </c>
      <c r="H5" s="2" t="s">
        <v>21</v>
      </c>
      <c r="I5" s="2" t="s">
        <v>30</v>
      </c>
      <c r="J5" s="2" t="s">
        <v>30</v>
      </c>
      <c r="K5" s="2" t="s">
        <v>30</v>
      </c>
      <c r="L5" s="2" t="s">
        <v>24</v>
      </c>
      <c r="M5" s="2" t="s">
        <v>24</v>
      </c>
      <c r="N5" s="2" t="s">
        <v>25</v>
      </c>
      <c r="O5" s="2">
        <v>38766128</v>
      </c>
      <c r="P5" s="2" t="s">
        <v>36</v>
      </c>
      <c r="Q5" s="2" t="s">
        <v>37</v>
      </c>
      <c r="R5" s="2" t="s">
        <v>28</v>
      </c>
      <c r="S5" s="2"/>
    </row>
    <row r="6" spans="1:19" ht="21">
      <c r="A6" s="2" t="s">
        <v>19</v>
      </c>
      <c r="B6" s="2">
        <v>38769018</v>
      </c>
      <c r="C6" s="2" t="s">
        <v>40</v>
      </c>
      <c r="D6" s="2" t="s">
        <v>30</v>
      </c>
      <c r="E6" s="2" t="s">
        <v>31</v>
      </c>
      <c r="F6" s="2" t="s">
        <v>30</v>
      </c>
      <c r="G6" s="3" t="s">
        <v>21</v>
      </c>
      <c r="H6" s="2" t="s">
        <v>30</v>
      </c>
      <c r="I6" s="2" t="s">
        <v>21</v>
      </c>
      <c r="J6" s="2" t="s">
        <v>21</v>
      </c>
      <c r="K6" s="2" t="s">
        <v>21</v>
      </c>
      <c r="L6" s="2" t="s">
        <v>24</v>
      </c>
      <c r="M6" s="2" t="s">
        <v>24</v>
      </c>
      <c r="N6" s="2" t="s">
        <v>25</v>
      </c>
      <c r="O6" s="2">
        <v>38767397</v>
      </c>
      <c r="P6" s="2" t="s">
        <v>41</v>
      </c>
      <c r="Q6" s="2" t="s">
        <v>27</v>
      </c>
      <c r="R6" s="2" t="s">
        <v>28</v>
      </c>
      <c r="S6" s="2"/>
    </row>
    <row r="7" spans="1:19" ht="21">
      <c r="A7" s="2" t="s">
        <v>19</v>
      </c>
      <c r="B7" s="2">
        <v>38777471</v>
      </c>
      <c r="C7" s="2" t="s">
        <v>42</v>
      </c>
      <c r="D7" s="2" t="s">
        <v>43</v>
      </c>
      <c r="E7" s="2" t="s">
        <v>44</v>
      </c>
      <c r="F7" s="2" t="s">
        <v>43</v>
      </c>
      <c r="G7" s="3" t="s">
        <v>23</v>
      </c>
      <c r="H7" s="2" t="s">
        <v>43</v>
      </c>
      <c r="I7" s="2" t="s">
        <v>43</v>
      </c>
      <c r="J7" s="2" t="s">
        <v>23</v>
      </c>
      <c r="K7" s="2" t="s">
        <v>43</v>
      </c>
      <c r="L7" s="2" t="s">
        <v>24</v>
      </c>
      <c r="M7" s="2" t="s">
        <v>24</v>
      </c>
      <c r="N7" s="2" t="s">
        <v>25</v>
      </c>
      <c r="O7" s="2">
        <v>38775850</v>
      </c>
      <c r="P7" s="2" t="s">
        <v>41</v>
      </c>
      <c r="Q7" s="2" t="s">
        <v>45</v>
      </c>
      <c r="R7" s="2" t="s">
        <v>28</v>
      </c>
      <c r="S7" s="2"/>
    </row>
    <row r="8" spans="1:19" ht="21">
      <c r="A8" s="2" t="s">
        <v>19</v>
      </c>
      <c r="B8" s="2">
        <v>38778903</v>
      </c>
      <c r="C8" s="2" t="s">
        <v>46</v>
      </c>
      <c r="D8" s="2" t="s">
        <v>21</v>
      </c>
      <c r="E8" s="2" t="s">
        <v>35</v>
      </c>
      <c r="F8" s="2" t="s">
        <v>21</v>
      </c>
      <c r="G8" s="3" t="s">
        <v>30</v>
      </c>
      <c r="H8" s="2" t="s">
        <v>21</v>
      </c>
      <c r="I8" s="2" t="s">
        <v>21</v>
      </c>
      <c r="J8" s="2" t="s">
        <v>30</v>
      </c>
      <c r="K8" s="2" t="s">
        <v>21</v>
      </c>
      <c r="L8" s="2" t="s">
        <v>24</v>
      </c>
      <c r="M8" s="2" t="s">
        <v>24</v>
      </c>
      <c r="N8" s="2" t="s">
        <v>25</v>
      </c>
      <c r="O8" s="2">
        <v>38777282</v>
      </c>
      <c r="P8" s="2" t="s">
        <v>41</v>
      </c>
      <c r="Q8" s="2" t="s">
        <v>47</v>
      </c>
      <c r="R8" s="2" t="s">
        <v>28</v>
      </c>
      <c r="S8" s="2"/>
    </row>
    <row r="9" spans="1:19" ht="21">
      <c r="A9" s="2" t="s">
        <v>19</v>
      </c>
      <c r="B9" s="2">
        <v>38779512</v>
      </c>
      <c r="C9" s="2" t="s">
        <v>48</v>
      </c>
      <c r="D9" s="2" t="s">
        <v>43</v>
      </c>
      <c r="E9" s="2" t="s">
        <v>49</v>
      </c>
      <c r="F9" s="2" t="s">
        <v>43</v>
      </c>
      <c r="G9" s="3" t="s">
        <v>23</v>
      </c>
      <c r="H9" s="2" t="s">
        <v>43</v>
      </c>
      <c r="I9" s="2" t="s">
        <v>23</v>
      </c>
      <c r="J9" s="2" t="s">
        <v>23</v>
      </c>
      <c r="K9" s="2" t="s">
        <v>23</v>
      </c>
      <c r="L9" s="2" t="s">
        <v>24</v>
      </c>
      <c r="M9" s="2" t="s">
        <v>24</v>
      </c>
      <c r="N9" s="2" t="s">
        <v>25</v>
      </c>
      <c r="O9" s="2">
        <v>38777891</v>
      </c>
      <c r="P9" s="2" t="s">
        <v>41</v>
      </c>
      <c r="Q9" s="2" t="s">
        <v>47</v>
      </c>
      <c r="R9" s="2" t="s">
        <v>28</v>
      </c>
      <c r="S9" s="2" t="s">
        <v>33</v>
      </c>
    </row>
    <row r="10" spans="1:19" ht="21">
      <c r="A10" s="2" t="s">
        <v>19</v>
      </c>
      <c r="B10" s="2">
        <v>38780471</v>
      </c>
      <c r="C10" s="2" t="s">
        <v>50</v>
      </c>
      <c r="D10" s="2" t="s">
        <v>23</v>
      </c>
      <c r="E10" s="2" t="s">
        <v>51</v>
      </c>
      <c r="F10" s="2" t="s">
        <v>23</v>
      </c>
      <c r="G10" s="3" t="s">
        <v>43</v>
      </c>
      <c r="H10" s="2" t="s">
        <v>23</v>
      </c>
      <c r="I10" s="2" t="s">
        <v>43</v>
      </c>
      <c r="J10" s="2" t="s">
        <v>43</v>
      </c>
      <c r="K10" s="2" t="s">
        <v>43</v>
      </c>
      <c r="L10" s="2" t="s">
        <v>24</v>
      </c>
      <c r="M10" s="2" t="s">
        <v>24</v>
      </c>
      <c r="N10" s="2" t="s">
        <v>25</v>
      </c>
      <c r="O10" s="2">
        <v>38778850</v>
      </c>
      <c r="P10" s="2" t="s">
        <v>41</v>
      </c>
      <c r="Q10" s="2" t="s">
        <v>47</v>
      </c>
      <c r="R10" s="2" t="s">
        <v>28</v>
      </c>
      <c r="S10" s="2"/>
    </row>
    <row r="11" spans="1:19" ht="21">
      <c r="A11" s="2" t="s">
        <v>19</v>
      </c>
      <c r="B11" s="2">
        <v>38783848</v>
      </c>
      <c r="C11" s="2" t="s">
        <v>52</v>
      </c>
      <c r="D11" s="2" t="s">
        <v>23</v>
      </c>
      <c r="E11" s="2" t="s">
        <v>53</v>
      </c>
      <c r="F11" s="2" t="s">
        <v>23</v>
      </c>
      <c r="G11" s="3" t="s">
        <v>43</v>
      </c>
      <c r="H11" s="2" t="s">
        <v>43</v>
      </c>
      <c r="I11" s="2" t="s">
        <v>43</v>
      </c>
      <c r="J11" s="2" t="s">
        <v>43</v>
      </c>
      <c r="K11" s="2" t="s">
        <v>43</v>
      </c>
      <c r="L11" s="2" t="s">
        <v>24</v>
      </c>
      <c r="M11" s="2" t="s">
        <v>24</v>
      </c>
      <c r="N11" s="2" t="s">
        <v>25</v>
      </c>
      <c r="O11" s="2">
        <v>38782227</v>
      </c>
      <c r="P11" s="2" t="s">
        <v>41</v>
      </c>
      <c r="Q11" s="2" t="s">
        <v>47</v>
      </c>
      <c r="R11" s="2" t="s">
        <v>28</v>
      </c>
      <c r="S11" s="2"/>
    </row>
    <row r="12" spans="1:19" ht="21">
      <c r="A12" s="2" t="s">
        <v>19</v>
      </c>
      <c r="B12" s="2">
        <v>38789675</v>
      </c>
      <c r="C12" s="2" t="s">
        <v>54</v>
      </c>
      <c r="D12" s="2" t="s">
        <v>21</v>
      </c>
      <c r="E12" s="2" t="s">
        <v>55</v>
      </c>
      <c r="F12" s="2" t="s">
        <v>21</v>
      </c>
      <c r="G12" s="3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24</v>
      </c>
      <c r="M12" s="2" t="s">
        <v>24</v>
      </c>
      <c r="N12" s="2" t="s">
        <v>25</v>
      </c>
      <c r="O12" s="2">
        <v>38788054</v>
      </c>
      <c r="P12" s="2" t="s">
        <v>56</v>
      </c>
      <c r="Q12" s="2" t="s">
        <v>57</v>
      </c>
      <c r="R12" s="2" t="s">
        <v>28</v>
      </c>
      <c r="S12" s="2"/>
    </row>
    <row r="13" spans="1:19" ht="21">
      <c r="A13" s="2" t="s">
        <v>19</v>
      </c>
      <c r="B13" s="2">
        <v>38796255</v>
      </c>
      <c r="C13" s="2" t="s">
        <v>58</v>
      </c>
      <c r="D13" s="2" t="s">
        <v>21</v>
      </c>
      <c r="E13" s="2" t="s">
        <v>35</v>
      </c>
      <c r="F13" s="2" t="s">
        <v>21</v>
      </c>
      <c r="G13" s="3" t="s">
        <v>23</v>
      </c>
      <c r="H13" s="2" t="s">
        <v>23</v>
      </c>
      <c r="I13" s="2" t="s">
        <v>21</v>
      </c>
      <c r="J13" s="2" t="s">
        <v>23</v>
      </c>
      <c r="K13" s="2" t="s">
        <v>23</v>
      </c>
      <c r="L13" s="2" t="s">
        <v>24</v>
      </c>
      <c r="M13" s="2" t="s">
        <v>24</v>
      </c>
      <c r="N13" s="2" t="s">
        <v>25</v>
      </c>
      <c r="O13" s="2">
        <v>38794634</v>
      </c>
      <c r="P13" s="2" t="s">
        <v>56</v>
      </c>
      <c r="Q13" s="2" t="s">
        <v>27</v>
      </c>
      <c r="R13" s="2" t="s">
        <v>28</v>
      </c>
      <c r="S13" s="2"/>
    </row>
    <row r="14" spans="1:19" ht="21">
      <c r="A14" s="2" t="s">
        <v>19</v>
      </c>
      <c r="B14" s="2">
        <v>38802913</v>
      </c>
      <c r="C14" s="2" t="s">
        <v>59</v>
      </c>
      <c r="D14" s="2" t="s">
        <v>30</v>
      </c>
      <c r="E14" s="2" t="s">
        <v>60</v>
      </c>
      <c r="F14" s="2" t="s">
        <v>30</v>
      </c>
      <c r="G14" s="3" t="s">
        <v>21</v>
      </c>
      <c r="H14" s="2" t="s">
        <v>21</v>
      </c>
      <c r="I14" s="2" t="s">
        <v>21</v>
      </c>
      <c r="J14" s="2" t="s">
        <v>21</v>
      </c>
      <c r="K14" s="2" t="s">
        <v>21</v>
      </c>
      <c r="L14" s="2" t="s">
        <v>24</v>
      </c>
      <c r="M14" s="2" t="s">
        <v>24</v>
      </c>
      <c r="N14" s="2" t="s">
        <v>25</v>
      </c>
      <c r="O14" s="2">
        <v>38801292</v>
      </c>
      <c r="P14" s="2" t="s">
        <v>56</v>
      </c>
      <c r="Q14" s="2" t="s">
        <v>47</v>
      </c>
      <c r="R14" s="2" t="s">
        <v>28</v>
      </c>
      <c r="S14" s="2"/>
    </row>
    <row r="15" spans="1:19" ht="21">
      <c r="A15" s="2" t="s">
        <v>19</v>
      </c>
      <c r="B15" s="2">
        <v>38803063</v>
      </c>
      <c r="C15" s="2" t="s">
        <v>61</v>
      </c>
      <c r="D15" s="2" t="s">
        <v>30</v>
      </c>
      <c r="E15" s="2" t="s">
        <v>62</v>
      </c>
      <c r="F15" s="2" t="s">
        <v>30</v>
      </c>
      <c r="G15" s="3" t="s">
        <v>21</v>
      </c>
      <c r="H15" s="2" t="s">
        <v>21</v>
      </c>
      <c r="I15" s="2" t="s">
        <v>21</v>
      </c>
      <c r="J15" s="2" t="s">
        <v>21</v>
      </c>
      <c r="K15" s="2" t="s">
        <v>21</v>
      </c>
      <c r="L15" s="2" t="s">
        <v>24</v>
      </c>
      <c r="M15" s="2" t="s">
        <v>24</v>
      </c>
      <c r="N15" s="2" t="s">
        <v>25</v>
      </c>
      <c r="O15" s="2">
        <v>38801442</v>
      </c>
      <c r="P15" s="2" t="s">
        <v>56</v>
      </c>
      <c r="Q15" s="2" t="s">
        <v>47</v>
      </c>
      <c r="R15" s="2" t="s">
        <v>28</v>
      </c>
      <c r="S15" s="2"/>
    </row>
    <row r="16" spans="1:19" ht="21">
      <c r="A16" s="2" t="s">
        <v>19</v>
      </c>
      <c r="B16" s="2">
        <v>38803646</v>
      </c>
      <c r="C16" s="2" t="s">
        <v>63</v>
      </c>
      <c r="D16" s="2" t="s">
        <v>23</v>
      </c>
      <c r="E16" s="2" t="s">
        <v>51</v>
      </c>
      <c r="F16" s="2" t="s">
        <v>23</v>
      </c>
      <c r="G16" s="3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2" t="s">
        <v>24</v>
      </c>
      <c r="M16" s="2" t="s">
        <v>24</v>
      </c>
      <c r="N16" s="2" t="s">
        <v>25</v>
      </c>
      <c r="O16" s="2">
        <v>38802025</v>
      </c>
      <c r="P16" s="2" t="s">
        <v>56</v>
      </c>
      <c r="Q16" s="2" t="s">
        <v>47</v>
      </c>
      <c r="R16" s="2" t="s">
        <v>28</v>
      </c>
      <c r="S16" s="2"/>
    </row>
    <row r="17" spans="1:19" ht="21">
      <c r="A17" s="2" t="s">
        <v>19</v>
      </c>
      <c r="B17" s="2">
        <v>38803784</v>
      </c>
      <c r="C17" s="2" t="s">
        <v>64</v>
      </c>
      <c r="D17" s="2" t="s">
        <v>43</v>
      </c>
      <c r="E17" s="2" t="s">
        <v>49</v>
      </c>
      <c r="F17" s="2" t="s">
        <v>43</v>
      </c>
      <c r="G17" s="3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24</v>
      </c>
      <c r="M17" s="2" t="s">
        <v>24</v>
      </c>
      <c r="N17" s="2" t="s">
        <v>25</v>
      </c>
      <c r="O17" s="2">
        <v>38802163</v>
      </c>
      <c r="P17" s="2" t="s">
        <v>56</v>
      </c>
      <c r="Q17" s="2" t="s">
        <v>47</v>
      </c>
      <c r="R17" s="2" t="s">
        <v>28</v>
      </c>
      <c r="S17" s="2"/>
    </row>
    <row r="18" spans="1:19" ht="21">
      <c r="A18" s="2" t="s">
        <v>19</v>
      </c>
      <c r="B18" s="2">
        <v>38804405</v>
      </c>
      <c r="C18" s="2" t="s">
        <v>65</v>
      </c>
      <c r="D18" s="2" t="s">
        <v>43</v>
      </c>
      <c r="E18" s="2" t="s">
        <v>66</v>
      </c>
      <c r="F18" s="2" t="s">
        <v>43</v>
      </c>
      <c r="G18" s="3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24</v>
      </c>
      <c r="M18" s="2" t="s">
        <v>24</v>
      </c>
      <c r="N18" s="2" t="s">
        <v>25</v>
      </c>
      <c r="O18" s="2">
        <v>38802784</v>
      </c>
      <c r="P18" s="2" t="s">
        <v>56</v>
      </c>
      <c r="Q18" s="2" t="s">
        <v>47</v>
      </c>
      <c r="R18" s="2" t="s">
        <v>28</v>
      </c>
      <c r="S18" s="2"/>
    </row>
    <row r="19" spans="1:19" ht="21">
      <c r="A19" s="2" t="s">
        <v>19</v>
      </c>
      <c r="B19" s="2">
        <v>38805489</v>
      </c>
      <c r="C19" s="2" t="s">
        <v>67</v>
      </c>
      <c r="D19" s="2" t="s">
        <v>43</v>
      </c>
      <c r="E19" s="2" t="s">
        <v>68</v>
      </c>
      <c r="F19" s="2" t="s">
        <v>43</v>
      </c>
      <c r="G19" s="3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24</v>
      </c>
      <c r="M19" s="2" t="s">
        <v>24</v>
      </c>
      <c r="N19" s="2" t="s">
        <v>25</v>
      </c>
      <c r="O19" s="2">
        <v>38803868</v>
      </c>
      <c r="P19" s="2" t="s">
        <v>56</v>
      </c>
      <c r="Q19" s="2" t="s">
        <v>47</v>
      </c>
      <c r="R19" s="2" t="s">
        <v>28</v>
      </c>
      <c r="S19" s="2"/>
    </row>
    <row r="20" spans="1:19" ht="21">
      <c r="A20" s="2" t="s">
        <v>19</v>
      </c>
      <c r="B20" s="2">
        <v>38805983</v>
      </c>
      <c r="C20" s="2" t="s">
        <v>69</v>
      </c>
      <c r="D20" s="2" t="s">
        <v>23</v>
      </c>
      <c r="E20" s="2" t="s">
        <v>53</v>
      </c>
      <c r="F20" s="2" t="s">
        <v>23</v>
      </c>
      <c r="G20" s="3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2" t="s">
        <v>24</v>
      </c>
      <c r="M20" s="2" t="s">
        <v>24</v>
      </c>
      <c r="N20" s="2" t="s">
        <v>25</v>
      </c>
      <c r="O20" s="2">
        <v>38804362</v>
      </c>
      <c r="P20" s="2" t="s">
        <v>56</v>
      </c>
      <c r="Q20" s="2" t="s">
        <v>45</v>
      </c>
      <c r="R20" s="2" t="s">
        <v>28</v>
      </c>
      <c r="S20" s="2"/>
    </row>
    <row r="21" spans="1:19" ht="21">
      <c r="A21" s="2" t="s">
        <v>19</v>
      </c>
      <c r="B21" s="2">
        <v>38806019</v>
      </c>
      <c r="C21" s="2" t="s">
        <v>70</v>
      </c>
      <c r="D21" s="2" t="s">
        <v>30</v>
      </c>
      <c r="E21" s="2" t="s">
        <v>71</v>
      </c>
      <c r="F21" s="2" t="s">
        <v>30</v>
      </c>
      <c r="G21" s="3" t="s">
        <v>21</v>
      </c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24</v>
      </c>
      <c r="M21" s="2" t="s">
        <v>24</v>
      </c>
      <c r="N21" s="2" t="s">
        <v>25</v>
      </c>
      <c r="O21" s="2">
        <v>38804398</v>
      </c>
      <c r="P21" s="2" t="s">
        <v>56</v>
      </c>
      <c r="Q21" s="2" t="s">
        <v>72</v>
      </c>
      <c r="R21" s="2" t="s">
        <v>28</v>
      </c>
      <c r="S21" s="2"/>
    </row>
    <row r="22" spans="1:19" ht="21">
      <c r="A22" s="2" t="s">
        <v>19</v>
      </c>
      <c r="B22" s="2">
        <v>38806096</v>
      </c>
      <c r="C22" s="2" t="s">
        <v>73</v>
      </c>
      <c r="D22" s="2" t="s">
        <v>23</v>
      </c>
      <c r="E22" s="2" t="s">
        <v>51</v>
      </c>
      <c r="F22" s="2" t="s">
        <v>23</v>
      </c>
      <c r="G22" s="3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2" t="s">
        <v>24</v>
      </c>
      <c r="M22" s="2" t="s">
        <v>24</v>
      </c>
      <c r="N22" s="2" t="s">
        <v>25</v>
      </c>
      <c r="O22" s="2">
        <v>38804475</v>
      </c>
      <c r="P22" s="2" t="s">
        <v>56</v>
      </c>
      <c r="Q22" s="2" t="s">
        <v>47</v>
      </c>
      <c r="R22" s="2" t="s">
        <v>28</v>
      </c>
      <c r="S22" s="2"/>
    </row>
    <row r="23" spans="1:19" ht="21">
      <c r="A23" s="2" t="s">
        <v>19</v>
      </c>
      <c r="B23" s="2">
        <v>38806200</v>
      </c>
      <c r="C23" s="2" t="s">
        <v>74</v>
      </c>
      <c r="D23" s="2" t="s">
        <v>21</v>
      </c>
      <c r="E23" s="2" t="s">
        <v>35</v>
      </c>
      <c r="F23" s="2" t="s">
        <v>21</v>
      </c>
      <c r="G23" s="3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24</v>
      </c>
      <c r="M23" s="2" t="s">
        <v>24</v>
      </c>
      <c r="N23" s="2" t="s">
        <v>25</v>
      </c>
      <c r="O23" s="2">
        <v>38804579</v>
      </c>
      <c r="P23" s="2" t="s">
        <v>56</v>
      </c>
      <c r="Q23" s="2" t="s">
        <v>47</v>
      </c>
      <c r="R23" s="2" t="s">
        <v>28</v>
      </c>
      <c r="S23" s="2"/>
    </row>
    <row r="24" spans="1:19" ht="21">
      <c r="A24" s="2" t="s">
        <v>19</v>
      </c>
      <c r="B24" s="2">
        <v>38806827</v>
      </c>
      <c r="C24" s="2" t="s">
        <v>75</v>
      </c>
      <c r="D24" s="2" t="s">
        <v>21</v>
      </c>
      <c r="E24" s="2" t="s">
        <v>39</v>
      </c>
      <c r="F24" s="2" t="s">
        <v>21</v>
      </c>
      <c r="G24" s="3" t="s">
        <v>30</v>
      </c>
      <c r="H24" s="2" t="s">
        <v>30</v>
      </c>
      <c r="I24" s="2" t="s">
        <v>30</v>
      </c>
      <c r="J24" s="2" t="s">
        <v>30</v>
      </c>
      <c r="K24" s="2" t="s">
        <v>30</v>
      </c>
      <c r="L24" s="2" t="s">
        <v>24</v>
      </c>
      <c r="M24" s="2" t="s">
        <v>24</v>
      </c>
      <c r="N24" s="2" t="s">
        <v>25</v>
      </c>
      <c r="O24" s="2">
        <v>38805206</v>
      </c>
      <c r="P24" s="2" t="s">
        <v>56</v>
      </c>
      <c r="Q24" s="2" t="s">
        <v>32</v>
      </c>
      <c r="R24" s="2" t="s">
        <v>28</v>
      </c>
      <c r="S24" s="2"/>
    </row>
    <row r="25" spans="1:19" ht="21">
      <c r="A25" s="2" t="s">
        <v>19</v>
      </c>
      <c r="B25" s="2">
        <v>38806851</v>
      </c>
      <c r="C25" s="2" t="s">
        <v>76</v>
      </c>
      <c r="D25" s="2" t="s">
        <v>30</v>
      </c>
      <c r="E25" s="2" t="s">
        <v>62</v>
      </c>
      <c r="F25" s="2" t="s">
        <v>30</v>
      </c>
      <c r="G25" s="3" t="s">
        <v>21</v>
      </c>
      <c r="H25" s="2" t="s">
        <v>21</v>
      </c>
      <c r="I25" s="2" t="s">
        <v>21</v>
      </c>
      <c r="J25" s="2" t="s">
        <v>21</v>
      </c>
      <c r="K25" s="2" t="s">
        <v>21</v>
      </c>
      <c r="L25" s="2" t="s">
        <v>24</v>
      </c>
      <c r="M25" s="2" t="s">
        <v>24</v>
      </c>
      <c r="N25" s="2" t="s">
        <v>25</v>
      </c>
      <c r="O25" s="2">
        <v>38805230</v>
      </c>
      <c r="P25" s="2" t="s">
        <v>56</v>
      </c>
      <c r="Q25" s="2" t="s">
        <v>32</v>
      </c>
      <c r="R25" s="2" t="s">
        <v>28</v>
      </c>
      <c r="S25" s="2"/>
    </row>
    <row r="26" spans="1:19" ht="21">
      <c r="A26" s="2" t="s">
        <v>19</v>
      </c>
      <c r="B26" s="2">
        <v>38807328</v>
      </c>
      <c r="C26" s="2" t="s">
        <v>77</v>
      </c>
      <c r="D26" s="2" t="s">
        <v>30</v>
      </c>
      <c r="E26" s="2" t="s">
        <v>60</v>
      </c>
      <c r="F26" s="2" t="s">
        <v>30</v>
      </c>
      <c r="G26" s="3" t="s">
        <v>21</v>
      </c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24</v>
      </c>
      <c r="M26" s="2" t="s">
        <v>24</v>
      </c>
      <c r="N26" s="2" t="s">
        <v>25</v>
      </c>
      <c r="O26" s="2">
        <v>38805707</v>
      </c>
      <c r="P26" s="2" t="s">
        <v>56</v>
      </c>
      <c r="Q26" s="2" t="s">
        <v>32</v>
      </c>
      <c r="R26" s="2" t="s">
        <v>28</v>
      </c>
      <c r="S26" s="2"/>
    </row>
    <row r="27" spans="1:19" ht="21">
      <c r="A27" s="2" t="s">
        <v>19</v>
      </c>
      <c r="B27" s="2">
        <v>38808045</v>
      </c>
      <c r="C27" s="2" t="s">
        <v>78</v>
      </c>
      <c r="D27" s="2" t="s">
        <v>30</v>
      </c>
      <c r="E27" s="2" t="s">
        <v>71</v>
      </c>
      <c r="F27" s="2" t="s">
        <v>30</v>
      </c>
      <c r="G27" s="3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25</v>
      </c>
      <c r="O27" s="2">
        <v>38806424</v>
      </c>
      <c r="P27" s="2" t="s">
        <v>56</v>
      </c>
      <c r="Q27" s="2" t="s">
        <v>32</v>
      </c>
      <c r="R27" s="2" t="s">
        <v>28</v>
      </c>
      <c r="S27" s="2" t="s">
        <v>33</v>
      </c>
    </row>
    <row r="28" spans="1:19" ht="21">
      <c r="A28" s="2" t="s">
        <v>19</v>
      </c>
      <c r="B28" s="2">
        <v>38808585</v>
      </c>
      <c r="C28" s="2" t="s">
        <v>79</v>
      </c>
      <c r="D28" s="2" t="s">
        <v>21</v>
      </c>
      <c r="E28" s="2" t="s">
        <v>80</v>
      </c>
      <c r="F28" s="2" t="s">
        <v>21</v>
      </c>
      <c r="G28" s="3" t="s">
        <v>43</v>
      </c>
      <c r="H28" s="2" t="s">
        <v>43</v>
      </c>
      <c r="I28" s="2" t="s">
        <v>43</v>
      </c>
      <c r="J28" s="2" t="s">
        <v>43</v>
      </c>
      <c r="K28" s="2" t="s">
        <v>43</v>
      </c>
      <c r="L28" s="2" t="s">
        <v>24</v>
      </c>
      <c r="M28" s="2" t="s">
        <v>24</v>
      </c>
      <c r="N28" s="2" t="s">
        <v>25</v>
      </c>
      <c r="O28" s="2">
        <v>38806964</v>
      </c>
      <c r="P28" s="2" t="s">
        <v>56</v>
      </c>
      <c r="Q28" s="2" t="s">
        <v>32</v>
      </c>
      <c r="R28" s="2" t="s">
        <v>28</v>
      </c>
      <c r="S28" s="2" t="s">
        <v>33</v>
      </c>
    </row>
    <row r="29" spans="1:19" ht="21">
      <c r="A29" s="2" t="s">
        <v>19</v>
      </c>
      <c r="B29" s="2">
        <v>38808613</v>
      </c>
      <c r="C29" s="2" t="s">
        <v>81</v>
      </c>
      <c r="D29" s="2" t="s">
        <v>21</v>
      </c>
      <c r="E29" s="2" t="s">
        <v>35</v>
      </c>
      <c r="F29" s="2" t="s">
        <v>21</v>
      </c>
      <c r="G29" s="3" t="s">
        <v>30</v>
      </c>
      <c r="H29" s="2" t="s">
        <v>30</v>
      </c>
      <c r="I29" s="2" t="s">
        <v>30</v>
      </c>
      <c r="J29" s="2" t="s">
        <v>30</v>
      </c>
      <c r="K29" s="2" t="s">
        <v>30</v>
      </c>
      <c r="L29" s="2" t="s">
        <v>24</v>
      </c>
      <c r="M29" s="2" t="s">
        <v>24</v>
      </c>
      <c r="N29" s="2" t="s">
        <v>25</v>
      </c>
      <c r="O29" s="2">
        <v>38806992</v>
      </c>
      <c r="P29" s="2" t="s">
        <v>56</v>
      </c>
      <c r="Q29" s="2" t="s">
        <v>32</v>
      </c>
      <c r="R29" s="2" t="s">
        <v>28</v>
      </c>
      <c r="S29" s="2" t="s">
        <v>33</v>
      </c>
    </row>
    <row r="30" spans="1:19" ht="21">
      <c r="A30" s="2" t="s">
        <v>19</v>
      </c>
      <c r="B30" s="2">
        <v>38809924</v>
      </c>
      <c r="C30" s="2" t="s">
        <v>82</v>
      </c>
      <c r="D30" s="2" t="s">
        <v>21</v>
      </c>
      <c r="E30" s="2" t="s">
        <v>39</v>
      </c>
      <c r="F30" s="2" t="s">
        <v>21</v>
      </c>
      <c r="G30" s="3" t="s">
        <v>30</v>
      </c>
      <c r="H30" s="2" t="s">
        <v>30</v>
      </c>
      <c r="I30" s="2" t="s">
        <v>30</v>
      </c>
      <c r="J30" s="2" t="s">
        <v>30</v>
      </c>
      <c r="K30" s="2" t="s">
        <v>30</v>
      </c>
      <c r="L30" s="2" t="s">
        <v>24</v>
      </c>
      <c r="M30" s="2" t="s">
        <v>24</v>
      </c>
      <c r="N30" s="2" t="s">
        <v>25</v>
      </c>
      <c r="O30" s="2">
        <v>38808303</v>
      </c>
      <c r="P30" s="2" t="s">
        <v>56</v>
      </c>
      <c r="Q30" s="2" t="s">
        <v>32</v>
      </c>
      <c r="R30" s="2" t="s">
        <v>28</v>
      </c>
      <c r="S30" s="2"/>
    </row>
    <row r="31" spans="1:19" ht="21">
      <c r="A31" s="2" t="s">
        <v>19</v>
      </c>
      <c r="B31" s="2">
        <v>38810444</v>
      </c>
      <c r="C31" s="2" t="s">
        <v>83</v>
      </c>
      <c r="D31" s="2" t="s">
        <v>43</v>
      </c>
      <c r="E31" s="2" t="s">
        <v>68</v>
      </c>
      <c r="F31" s="2" t="s">
        <v>43</v>
      </c>
      <c r="G31" s="3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24</v>
      </c>
      <c r="M31" s="2" t="s">
        <v>24</v>
      </c>
      <c r="N31" s="2" t="s">
        <v>25</v>
      </c>
      <c r="O31" s="2">
        <v>38808823</v>
      </c>
      <c r="P31" s="2" t="s">
        <v>56</v>
      </c>
      <c r="Q31" s="2" t="s">
        <v>32</v>
      </c>
      <c r="R31" s="2" t="s">
        <v>28</v>
      </c>
      <c r="S31" s="2"/>
    </row>
    <row r="32" spans="1:19" ht="21">
      <c r="A32" s="2" t="s">
        <v>19</v>
      </c>
      <c r="B32" s="2">
        <v>38810738</v>
      </c>
      <c r="C32" s="2" t="s">
        <v>84</v>
      </c>
      <c r="D32" s="2" t="s">
        <v>43</v>
      </c>
      <c r="E32" s="2" t="s">
        <v>85</v>
      </c>
      <c r="F32" s="2" t="s">
        <v>43</v>
      </c>
      <c r="G32" s="3" t="s">
        <v>21</v>
      </c>
      <c r="H32" s="2" t="s">
        <v>21</v>
      </c>
      <c r="I32" s="2" t="s">
        <v>21</v>
      </c>
      <c r="J32" s="2" t="s">
        <v>21</v>
      </c>
      <c r="K32" s="2" t="s">
        <v>21</v>
      </c>
      <c r="L32" s="2" t="s">
        <v>24</v>
      </c>
      <c r="M32" s="2" t="s">
        <v>24</v>
      </c>
      <c r="N32" s="2" t="s">
        <v>25</v>
      </c>
      <c r="O32" s="2">
        <v>38809117</v>
      </c>
      <c r="P32" s="2" t="s">
        <v>56</v>
      </c>
      <c r="Q32" s="2" t="s">
        <v>32</v>
      </c>
      <c r="R32" s="2" t="s">
        <v>28</v>
      </c>
      <c r="S32" s="2"/>
    </row>
    <row r="33" spans="1:19" ht="21">
      <c r="A33" s="2" t="s">
        <v>19</v>
      </c>
      <c r="B33" s="2">
        <v>38810769</v>
      </c>
      <c r="C33" s="2" t="s">
        <v>86</v>
      </c>
      <c r="D33" s="2" t="s">
        <v>43</v>
      </c>
      <c r="E33" s="2" t="s">
        <v>49</v>
      </c>
      <c r="F33" s="2" t="s">
        <v>43</v>
      </c>
      <c r="G33" s="3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24</v>
      </c>
      <c r="M33" s="2" t="s">
        <v>24</v>
      </c>
      <c r="N33" s="2" t="s">
        <v>25</v>
      </c>
      <c r="O33" s="2">
        <v>38809148</v>
      </c>
      <c r="P33" s="2" t="s">
        <v>56</v>
      </c>
      <c r="Q33" s="2" t="s">
        <v>32</v>
      </c>
      <c r="R33" s="2" t="s">
        <v>28</v>
      </c>
      <c r="S33" s="2"/>
    </row>
    <row r="34" spans="1:19" ht="21">
      <c r="A34" s="2" t="s">
        <v>19</v>
      </c>
      <c r="B34" s="2">
        <v>38810975</v>
      </c>
      <c r="C34" s="2" t="s">
        <v>87</v>
      </c>
      <c r="D34" s="2" t="s">
        <v>43</v>
      </c>
      <c r="E34" s="2" t="s">
        <v>68</v>
      </c>
      <c r="F34" s="2" t="s">
        <v>43</v>
      </c>
      <c r="G34" s="3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24</v>
      </c>
      <c r="M34" s="2" t="s">
        <v>24</v>
      </c>
      <c r="N34" s="2" t="s">
        <v>25</v>
      </c>
      <c r="O34" s="2">
        <v>38809354</v>
      </c>
      <c r="P34" s="2" t="s">
        <v>56</v>
      </c>
      <c r="Q34" s="2" t="s">
        <v>32</v>
      </c>
      <c r="R34" s="2" t="s">
        <v>28</v>
      </c>
      <c r="S34" s="2"/>
    </row>
    <row r="35" spans="1:19" ht="21">
      <c r="A35" s="2" t="s">
        <v>19</v>
      </c>
      <c r="B35" s="2">
        <v>38811529</v>
      </c>
      <c r="C35" s="2" t="s">
        <v>88</v>
      </c>
      <c r="D35" s="2" t="s">
        <v>23</v>
      </c>
      <c r="E35" s="2" t="s">
        <v>51</v>
      </c>
      <c r="F35" s="2" t="s">
        <v>23</v>
      </c>
      <c r="G35" s="3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24</v>
      </c>
      <c r="M35" s="2" t="s">
        <v>24</v>
      </c>
      <c r="N35" s="2" t="s">
        <v>25</v>
      </c>
      <c r="O35" s="2">
        <v>38809908</v>
      </c>
      <c r="P35" s="2" t="s">
        <v>56</v>
      </c>
      <c r="Q35" s="2" t="s">
        <v>47</v>
      </c>
      <c r="R35" s="2" t="s">
        <v>28</v>
      </c>
      <c r="S35" s="2"/>
    </row>
    <row r="36" spans="1:19" ht="21">
      <c r="A36" s="2" t="s">
        <v>19</v>
      </c>
      <c r="B36" s="2">
        <v>38811668</v>
      </c>
      <c r="C36" s="2" t="s">
        <v>89</v>
      </c>
      <c r="D36" s="2" t="s">
        <v>21</v>
      </c>
      <c r="E36" s="2" t="s">
        <v>39</v>
      </c>
      <c r="F36" s="2" t="s">
        <v>21</v>
      </c>
      <c r="G36" s="3" t="s">
        <v>30</v>
      </c>
      <c r="H36" s="2" t="s">
        <v>30</v>
      </c>
      <c r="I36" s="2" t="s">
        <v>30</v>
      </c>
      <c r="J36" s="2" t="s">
        <v>30</v>
      </c>
      <c r="K36" s="2" t="s">
        <v>30</v>
      </c>
      <c r="L36" s="2" t="s">
        <v>24</v>
      </c>
      <c r="M36" s="2" t="s">
        <v>24</v>
      </c>
      <c r="N36" s="2" t="s">
        <v>25</v>
      </c>
      <c r="O36" s="2">
        <v>38810047</v>
      </c>
      <c r="P36" s="2" t="s">
        <v>56</v>
      </c>
      <c r="Q36" s="2" t="s">
        <v>47</v>
      </c>
      <c r="R36" s="2" t="s">
        <v>28</v>
      </c>
      <c r="S36" s="2"/>
    </row>
    <row r="37" spans="1:19" ht="21">
      <c r="A37" s="2" t="s">
        <v>19</v>
      </c>
      <c r="B37" s="2">
        <v>38811845</v>
      </c>
      <c r="C37" s="2" t="s">
        <v>90</v>
      </c>
      <c r="D37" s="2" t="s">
        <v>21</v>
      </c>
      <c r="E37" s="2" t="s">
        <v>91</v>
      </c>
      <c r="F37" s="2" t="s">
        <v>21</v>
      </c>
      <c r="G37" s="3" t="s">
        <v>43</v>
      </c>
      <c r="H37" s="2" t="s">
        <v>43</v>
      </c>
      <c r="I37" s="2" t="s">
        <v>43</v>
      </c>
      <c r="J37" s="2" t="s">
        <v>43</v>
      </c>
      <c r="K37" s="2" t="s">
        <v>43</v>
      </c>
      <c r="L37" s="2" t="s">
        <v>24</v>
      </c>
      <c r="M37" s="2" t="s">
        <v>24</v>
      </c>
      <c r="N37" s="2" t="s">
        <v>25</v>
      </c>
      <c r="O37" s="2">
        <v>38810224</v>
      </c>
      <c r="P37" s="2" t="s">
        <v>56</v>
      </c>
      <c r="Q37" s="2" t="s">
        <v>47</v>
      </c>
      <c r="R37" s="2" t="s">
        <v>28</v>
      </c>
      <c r="S37" s="2"/>
    </row>
    <row r="38" spans="1:19" ht="21">
      <c r="A38" s="2" t="s">
        <v>19</v>
      </c>
      <c r="B38" s="2">
        <v>38812116</v>
      </c>
      <c r="C38" s="2" t="s">
        <v>92</v>
      </c>
      <c r="D38" s="2" t="s">
        <v>23</v>
      </c>
      <c r="E38" s="2" t="s">
        <v>93</v>
      </c>
      <c r="F38" s="2" t="s">
        <v>23</v>
      </c>
      <c r="G38" s="3" t="s">
        <v>30</v>
      </c>
      <c r="H38" s="2" t="s">
        <v>30</v>
      </c>
      <c r="I38" s="2" t="s">
        <v>30</v>
      </c>
      <c r="J38" s="2" t="s">
        <v>30</v>
      </c>
      <c r="K38" s="2" t="s">
        <v>30</v>
      </c>
      <c r="L38" s="2" t="s">
        <v>24</v>
      </c>
      <c r="M38" s="2" t="s">
        <v>24</v>
      </c>
      <c r="N38" s="2" t="s">
        <v>25</v>
      </c>
      <c r="O38" s="2">
        <v>38810495</v>
      </c>
      <c r="P38" s="2" t="s">
        <v>56</v>
      </c>
      <c r="Q38" s="2" t="s">
        <v>47</v>
      </c>
      <c r="R38" s="2" t="s">
        <v>28</v>
      </c>
      <c r="S38" s="2"/>
    </row>
    <row r="39" spans="1:19" ht="21">
      <c r="A39" s="2" t="s">
        <v>19</v>
      </c>
      <c r="B39" s="2">
        <v>38812537</v>
      </c>
      <c r="C39" s="2" t="s">
        <v>94</v>
      </c>
      <c r="D39" s="2" t="s">
        <v>30</v>
      </c>
      <c r="E39" s="2" t="s">
        <v>60</v>
      </c>
      <c r="F39" s="2" t="s">
        <v>30</v>
      </c>
      <c r="G39" s="3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24</v>
      </c>
      <c r="M39" s="2" t="s">
        <v>24</v>
      </c>
      <c r="N39" s="2" t="s">
        <v>25</v>
      </c>
      <c r="O39" s="2">
        <v>38810916</v>
      </c>
      <c r="P39" s="2" t="s">
        <v>56</v>
      </c>
      <c r="Q39" s="2" t="s">
        <v>47</v>
      </c>
      <c r="R39" s="2" t="s">
        <v>28</v>
      </c>
      <c r="S39" s="2"/>
    </row>
    <row r="40" spans="1:19" ht="21">
      <c r="A40" s="2" t="s">
        <v>19</v>
      </c>
      <c r="B40" s="2">
        <v>38814700</v>
      </c>
      <c r="C40" s="2" t="s">
        <v>95</v>
      </c>
      <c r="D40" s="2" t="s">
        <v>30</v>
      </c>
      <c r="E40" s="2" t="s">
        <v>62</v>
      </c>
      <c r="F40" s="2" t="s">
        <v>30</v>
      </c>
      <c r="G40" s="3" t="s">
        <v>21</v>
      </c>
      <c r="H40" s="6" t="s">
        <v>21</v>
      </c>
      <c r="I40" s="2" t="s">
        <v>21</v>
      </c>
      <c r="J40" s="2" t="s">
        <v>21</v>
      </c>
      <c r="K40" s="2" t="s">
        <v>21</v>
      </c>
      <c r="L40" s="2" t="s">
        <v>24</v>
      </c>
      <c r="M40" s="2" t="s">
        <v>24</v>
      </c>
      <c r="N40" s="2" t="s">
        <v>25</v>
      </c>
      <c r="O40" s="2">
        <v>38813079</v>
      </c>
      <c r="P40" s="2" t="s">
        <v>56</v>
      </c>
      <c r="Q40" s="2" t="s">
        <v>47</v>
      </c>
      <c r="R40" s="2" t="s">
        <v>28</v>
      </c>
      <c r="S40" s="2"/>
    </row>
    <row r="41" spans="1:19" ht="21">
      <c r="A41" s="2" t="s">
        <v>19</v>
      </c>
      <c r="B41" s="2">
        <v>38827445</v>
      </c>
      <c r="C41" s="2" t="s">
        <v>96</v>
      </c>
      <c r="D41" s="2" t="s">
        <v>30</v>
      </c>
      <c r="E41" s="2" t="s">
        <v>60</v>
      </c>
      <c r="F41" s="2" t="s">
        <v>30</v>
      </c>
      <c r="G41" s="4" t="s">
        <v>30</v>
      </c>
      <c r="H41" s="8" t="s">
        <v>21</v>
      </c>
      <c r="I41" s="5" t="s">
        <v>30</v>
      </c>
      <c r="J41" s="2" t="s">
        <v>21</v>
      </c>
      <c r="K41" s="2" t="s">
        <v>30</v>
      </c>
      <c r="L41" s="2" t="s">
        <v>97</v>
      </c>
      <c r="M41" s="2" t="s">
        <v>97</v>
      </c>
      <c r="N41" s="2" t="s">
        <v>25</v>
      </c>
      <c r="O41" s="2">
        <v>38825824</v>
      </c>
      <c r="P41" s="2" t="s">
        <v>98</v>
      </c>
      <c r="Q41" s="2" t="s">
        <v>27</v>
      </c>
      <c r="R41" s="2" t="s">
        <v>97</v>
      </c>
      <c r="S41" s="2"/>
    </row>
    <row r="42" spans="1:19" ht="21">
      <c r="A42" s="2" t="s">
        <v>19</v>
      </c>
      <c r="B42" s="2">
        <v>38828383</v>
      </c>
      <c r="C42" s="2" t="s">
        <v>99</v>
      </c>
      <c r="D42" s="2" t="s">
        <v>30</v>
      </c>
      <c r="E42" s="2" t="s">
        <v>60</v>
      </c>
      <c r="F42" s="2" t="s">
        <v>30</v>
      </c>
      <c r="G42" s="4" t="s">
        <v>30</v>
      </c>
      <c r="H42" s="8" t="s">
        <v>21</v>
      </c>
      <c r="I42" s="5" t="s">
        <v>30</v>
      </c>
      <c r="J42" s="2" t="s">
        <v>21</v>
      </c>
      <c r="K42" s="2" t="s">
        <v>30</v>
      </c>
      <c r="L42" s="2" t="s">
        <v>97</v>
      </c>
      <c r="M42" s="2" t="s">
        <v>97</v>
      </c>
      <c r="N42" s="2" t="s">
        <v>25</v>
      </c>
      <c r="O42" s="2">
        <v>38826762</v>
      </c>
      <c r="P42" s="2" t="s">
        <v>98</v>
      </c>
      <c r="Q42" s="2" t="s">
        <v>57</v>
      </c>
      <c r="R42" s="2" t="s">
        <v>97</v>
      </c>
      <c r="S42" s="2"/>
    </row>
    <row r="43" spans="1:19" ht="21">
      <c r="A43" s="2" t="s">
        <v>19</v>
      </c>
      <c r="B43" s="2">
        <v>38833173</v>
      </c>
      <c r="C43" s="2" t="s">
        <v>100</v>
      </c>
      <c r="D43" s="2" t="s">
        <v>30</v>
      </c>
      <c r="E43" s="2" t="s">
        <v>101</v>
      </c>
      <c r="F43" s="2" t="s">
        <v>30</v>
      </c>
      <c r="G43" s="3" t="s">
        <v>23</v>
      </c>
      <c r="H43" s="7" t="s">
        <v>23</v>
      </c>
      <c r="I43" s="2" t="s">
        <v>30</v>
      </c>
      <c r="J43" s="2" t="s">
        <v>23</v>
      </c>
      <c r="K43" s="2" t="s">
        <v>30</v>
      </c>
      <c r="L43" s="2" t="s">
        <v>24</v>
      </c>
      <c r="M43" s="2" t="s">
        <v>24</v>
      </c>
      <c r="N43" s="2" t="s">
        <v>25</v>
      </c>
      <c r="O43" s="2">
        <v>38831552</v>
      </c>
      <c r="P43" s="2" t="s">
        <v>98</v>
      </c>
      <c r="Q43" s="2" t="s">
        <v>47</v>
      </c>
      <c r="R43" s="2" t="s">
        <v>24</v>
      </c>
      <c r="S43" s="2"/>
    </row>
    <row r="44" spans="1:19" ht="21">
      <c r="A44" s="2" t="s">
        <v>19</v>
      </c>
      <c r="B44" s="2">
        <v>38835702</v>
      </c>
      <c r="C44" s="2" t="s">
        <v>102</v>
      </c>
      <c r="D44" s="2" t="s">
        <v>23</v>
      </c>
      <c r="E44" s="2" t="s">
        <v>51</v>
      </c>
      <c r="F44" s="2" t="s">
        <v>23</v>
      </c>
      <c r="G44" s="3" t="s">
        <v>43</v>
      </c>
      <c r="H44" s="6" t="s">
        <v>43</v>
      </c>
      <c r="I44" s="2" t="s">
        <v>23</v>
      </c>
      <c r="J44" s="2" t="s">
        <v>43</v>
      </c>
      <c r="K44" s="2" t="s">
        <v>23</v>
      </c>
      <c r="L44" s="2" t="s">
        <v>24</v>
      </c>
      <c r="M44" s="2" t="s">
        <v>24</v>
      </c>
      <c r="N44" s="2" t="s">
        <v>25</v>
      </c>
      <c r="O44" s="2">
        <v>38834081</v>
      </c>
      <c r="P44" s="2" t="s">
        <v>98</v>
      </c>
      <c r="Q44" s="2" t="s">
        <v>47</v>
      </c>
      <c r="R44" s="2" t="s">
        <v>24</v>
      </c>
      <c r="S44" s="2"/>
    </row>
    <row r="45" spans="1:19" ht="21">
      <c r="A45" s="2" t="s">
        <v>19</v>
      </c>
      <c r="B45" s="2">
        <v>38836071</v>
      </c>
      <c r="C45" s="2" t="s">
        <v>103</v>
      </c>
      <c r="D45" s="2" t="s">
        <v>21</v>
      </c>
      <c r="E45" s="2" t="s">
        <v>39</v>
      </c>
      <c r="F45" s="2" t="s">
        <v>21</v>
      </c>
      <c r="G45" s="4" t="s">
        <v>30</v>
      </c>
      <c r="H45" s="77" t="s">
        <v>30</v>
      </c>
      <c r="I45" s="5" t="s">
        <v>21</v>
      </c>
      <c r="J45" s="2" t="s">
        <v>30</v>
      </c>
      <c r="K45" s="2" t="s">
        <v>21</v>
      </c>
      <c r="L45" s="2" t="s">
        <v>24</v>
      </c>
      <c r="M45" s="2" t="s">
        <v>24</v>
      </c>
      <c r="N45" s="2" t="s">
        <v>25</v>
      </c>
      <c r="O45" s="2">
        <v>38834450</v>
      </c>
      <c r="P45" s="2" t="s">
        <v>98</v>
      </c>
      <c r="Q45" s="2" t="s">
        <v>47</v>
      </c>
      <c r="R45" s="2" t="s">
        <v>24</v>
      </c>
      <c r="S45" s="2"/>
    </row>
    <row r="46" spans="1:19" ht="21">
      <c r="A46" s="2" t="s">
        <v>19</v>
      </c>
      <c r="B46" s="2">
        <v>38843617</v>
      </c>
      <c r="C46" s="2" t="s">
        <v>104</v>
      </c>
      <c r="D46" s="2" t="s">
        <v>30</v>
      </c>
      <c r="E46" s="2" t="s">
        <v>101</v>
      </c>
      <c r="F46" s="2" t="s">
        <v>30</v>
      </c>
      <c r="G46" s="4" t="s">
        <v>30</v>
      </c>
      <c r="H46" s="78" t="s">
        <v>23</v>
      </c>
      <c r="I46" s="5" t="s">
        <v>30</v>
      </c>
      <c r="J46" s="2" t="s">
        <v>23</v>
      </c>
      <c r="K46" s="2" t="s">
        <v>30</v>
      </c>
      <c r="L46" s="2" t="s">
        <v>97</v>
      </c>
      <c r="M46" s="2" t="s">
        <v>97</v>
      </c>
      <c r="N46" s="2" t="s">
        <v>25</v>
      </c>
      <c r="O46" s="2">
        <v>38841996</v>
      </c>
      <c r="P46" s="2" t="s">
        <v>98</v>
      </c>
      <c r="Q46" s="2" t="s">
        <v>47</v>
      </c>
      <c r="R46" s="2" t="s">
        <v>97</v>
      </c>
      <c r="S46" s="2" t="s">
        <v>33</v>
      </c>
    </row>
    <row r="47" spans="1:19" ht="21">
      <c r="A47" s="2" t="s">
        <v>19</v>
      </c>
      <c r="B47" s="2">
        <v>38843965</v>
      </c>
      <c r="C47" s="2" t="s">
        <v>105</v>
      </c>
      <c r="D47" s="2" t="s">
        <v>23</v>
      </c>
      <c r="E47" s="2" t="s">
        <v>53</v>
      </c>
      <c r="F47" s="2" t="s">
        <v>23</v>
      </c>
      <c r="G47" s="4" t="s">
        <v>23</v>
      </c>
      <c r="H47" s="79" t="s">
        <v>43</v>
      </c>
      <c r="I47" s="5" t="s">
        <v>23</v>
      </c>
      <c r="J47" s="2" t="s">
        <v>43</v>
      </c>
      <c r="K47" s="2" t="s">
        <v>23</v>
      </c>
      <c r="L47" s="2" t="s">
        <v>97</v>
      </c>
      <c r="M47" s="2" t="s">
        <v>97</v>
      </c>
      <c r="N47" s="2" t="s">
        <v>25</v>
      </c>
      <c r="O47" s="2">
        <v>38842344</v>
      </c>
      <c r="P47" s="2" t="s">
        <v>98</v>
      </c>
      <c r="Q47" s="2" t="s">
        <v>47</v>
      </c>
      <c r="R47" s="2" t="s">
        <v>97</v>
      </c>
      <c r="S47" s="2" t="s">
        <v>33</v>
      </c>
    </row>
    <row r="48" spans="1:19" ht="21">
      <c r="A48" s="2" t="s">
        <v>19</v>
      </c>
      <c r="B48" s="2">
        <v>38846188</v>
      </c>
      <c r="C48" s="2" t="s">
        <v>106</v>
      </c>
      <c r="D48" s="2" t="s">
        <v>23</v>
      </c>
      <c r="E48" s="2" t="s">
        <v>107</v>
      </c>
      <c r="F48" s="2" t="s">
        <v>23</v>
      </c>
      <c r="G48" s="4" t="s">
        <v>23</v>
      </c>
      <c r="H48" s="73" t="s">
        <v>21</v>
      </c>
      <c r="I48" s="5" t="s">
        <v>21</v>
      </c>
      <c r="J48" s="2" t="s">
        <v>21</v>
      </c>
      <c r="K48" s="2" t="s">
        <v>21</v>
      </c>
      <c r="L48" s="2" t="s">
        <v>97</v>
      </c>
      <c r="M48" s="2" t="s">
        <v>97</v>
      </c>
      <c r="N48" s="2" t="s">
        <v>25</v>
      </c>
      <c r="O48" s="2">
        <v>38844567</v>
      </c>
      <c r="P48" s="2" t="s">
        <v>98</v>
      </c>
      <c r="Q48" s="2" t="s">
        <v>47</v>
      </c>
      <c r="R48" s="2" t="s">
        <v>97</v>
      </c>
      <c r="S48" s="2"/>
    </row>
    <row r="49" spans="1:19" ht="21">
      <c r="A49" s="2" t="s">
        <v>19</v>
      </c>
      <c r="B49" s="2">
        <v>38851921</v>
      </c>
      <c r="C49" s="2" t="s">
        <v>108</v>
      </c>
      <c r="D49" s="2" t="s">
        <v>23</v>
      </c>
      <c r="E49" s="2" t="s">
        <v>107</v>
      </c>
      <c r="F49" s="2" t="s">
        <v>23</v>
      </c>
      <c r="G49" s="4" t="s">
        <v>23</v>
      </c>
      <c r="H49" s="74" t="s">
        <v>21</v>
      </c>
      <c r="I49" s="5" t="s">
        <v>23</v>
      </c>
      <c r="J49" s="2" t="s">
        <v>21</v>
      </c>
      <c r="K49" s="2" t="s">
        <v>23</v>
      </c>
      <c r="L49" s="2" t="s">
        <v>97</v>
      </c>
      <c r="M49" s="2" t="s">
        <v>97</v>
      </c>
      <c r="N49" s="2" t="s">
        <v>25</v>
      </c>
      <c r="O49" s="2">
        <v>38850300</v>
      </c>
      <c r="P49" s="2" t="s">
        <v>98</v>
      </c>
      <c r="Q49" s="2" t="s">
        <v>47</v>
      </c>
      <c r="R49" s="2" t="s">
        <v>97</v>
      </c>
      <c r="S49" s="2" t="s">
        <v>33</v>
      </c>
    </row>
    <row r="50" spans="1:19" ht="21">
      <c r="A50" s="2" t="s">
        <v>19</v>
      </c>
      <c r="B50" s="2">
        <v>38853671</v>
      </c>
      <c r="C50" s="2" t="s">
        <v>109</v>
      </c>
      <c r="D50" s="2" t="s">
        <v>21</v>
      </c>
      <c r="E50" s="2" t="s">
        <v>39</v>
      </c>
      <c r="F50" s="2" t="s">
        <v>21</v>
      </c>
      <c r="G50" s="4" t="s">
        <v>21</v>
      </c>
      <c r="H50" s="75" t="s">
        <v>30</v>
      </c>
      <c r="I50" s="5" t="s">
        <v>30</v>
      </c>
      <c r="J50" s="2" t="s">
        <v>30</v>
      </c>
      <c r="K50" s="2" t="s">
        <v>30</v>
      </c>
      <c r="L50" s="2" t="s">
        <v>97</v>
      </c>
      <c r="M50" s="2" t="s">
        <v>97</v>
      </c>
      <c r="N50" s="2" t="s">
        <v>25</v>
      </c>
      <c r="O50" s="2">
        <v>38852050</v>
      </c>
      <c r="P50" s="2" t="s">
        <v>98</v>
      </c>
      <c r="Q50" s="2" t="s">
        <v>47</v>
      </c>
      <c r="R50" s="2" t="s">
        <v>97</v>
      </c>
      <c r="S50" s="2" t="s">
        <v>33</v>
      </c>
    </row>
    <row r="51" spans="1:19" ht="21">
      <c r="A51" s="2" t="s">
        <v>19</v>
      </c>
      <c r="B51" s="2">
        <v>38856365</v>
      </c>
      <c r="C51" s="2" t="s">
        <v>110</v>
      </c>
      <c r="D51" s="2" t="s">
        <v>23</v>
      </c>
      <c r="E51" s="2" t="s">
        <v>111</v>
      </c>
      <c r="F51" s="2" t="s">
        <v>23</v>
      </c>
      <c r="G51" s="4" t="s">
        <v>23</v>
      </c>
      <c r="H51" s="76" t="s">
        <v>43</v>
      </c>
      <c r="I51" s="5" t="s">
        <v>23</v>
      </c>
      <c r="J51" s="2" t="s">
        <v>43</v>
      </c>
      <c r="K51" s="2" t="s">
        <v>23</v>
      </c>
      <c r="L51" s="2" t="s">
        <v>97</v>
      </c>
      <c r="M51" s="2" t="s">
        <v>97</v>
      </c>
      <c r="N51" s="2" t="s">
        <v>25</v>
      </c>
      <c r="O51" s="2">
        <v>38854744</v>
      </c>
      <c r="P51" s="2" t="s">
        <v>98</v>
      </c>
      <c r="Q51" s="2" t="s">
        <v>47</v>
      </c>
      <c r="R51" s="2" t="s">
        <v>97</v>
      </c>
      <c r="S51" s="2" t="s">
        <v>33</v>
      </c>
    </row>
    <row r="52" spans="1:19" ht="21">
      <c r="A52" s="2" t="s">
        <v>19</v>
      </c>
      <c r="B52" s="2">
        <v>38857896</v>
      </c>
      <c r="C52" s="2" t="s">
        <v>112</v>
      </c>
      <c r="D52" s="2" t="s">
        <v>43</v>
      </c>
      <c r="E52" s="2" t="s">
        <v>113</v>
      </c>
      <c r="F52" s="2" t="s">
        <v>43</v>
      </c>
      <c r="G52" s="4" t="s">
        <v>43</v>
      </c>
      <c r="H52" s="75" t="s">
        <v>30</v>
      </c>
      <c r="I52" s="5" t="s">
        <v>30</v>
      </c>
      <c r="J52" s="2" t="s">
        <v>30</v>
      </c>
      <c r="K52" s="2" t="s">
        <v>30</v>
      </c>
      <c r="L52" s="2" t="s">
        <v>97</v>
      </c>
      <c r="M52" s="2" t="s">
        <v>97</v>
      </c>
      <c r="N52" s="2" t="s">
        <v>25</v>
      </c>
      <c r="O52" s="2">
        <v>38856275</v>
      </c>
      <c r="P52" s="2" t="s">
        <v>98</v>
      </c>
      <c r="Q52" s="2" t="s">
        <v>47</v>
      </c>
      <c r="R52" s="2" t="s">
        <v>97</v>
      </c>
      <c r="S52" s="2" t="s">
        <v>33</v>
      </c>
    </row>
    <row r="53" spans="1:19" ht="21">
      <c r="A53" s="2" t="s">
        <v>19</v>
      </c>
      <c r="B53" s="2">
        <v>38871385</v>
      </c>
      <c r="C53" s="2" t="s">
        <v>114</v>
      </c>
      <c r="D53" s="2" t="s">
        <v>23</v>
      </c>
      <c r="E53" s="2" t="s">
        <v>51</v>
      </c>
      <c r="F53" s="2" t="s">
        <v>23</v>
      </c>
      <c r="G53" s="4" t="s">
        <v>43</v>
      </c>
      <c r="H53" s="7" t="s">
        <v>43</v>
      </c>
      <c r="I53" s="5" t="s">
        <v>23</v>
      </c>
      <c r="J53" s="2" t="s">
        <v>43</v>
      </c>
      <c r="K53" s="2" t="s">
        <v>23</v>
      </c>
      <c r="L53" s="2" t="s">
        <v>24</v>
      </c>
      <c r="M53" s="2" t="s">
        <v>24</v>
      </c>
      <c r="N53" s="2" t="s">
        <v>25</v>
      </c>
      <c r="O53" s="2">
        <v>38869764</v>
      </c>
      <c r="P53" s="2" t="s">
        <v>115</v>
      </c>
      <c r="Q53" s="2" t="s">
        <v>47</v>
      </c>
      <c r="R53" s="2" t="s">
        <v>24</v>
      </c>
      <c r="S53" s="2"/>
    </row>
    <row r="54" spans="1:19" ht="21">
      <c r="A54" s="2" t="s">
        <v>19</v>
      </c>
      <c r="B54" s="2">
        <v>38876997</v>
      </c>
      <c r="C54" s="2" t="s">
        <v>116</v>
      </c>
      <c r="D54" s="2" t="s">
        <v>21</v>
      </c>
      <c r="E54" s="2" t="s">
        <v>39</v>
      </c>
      <c r="F54" s="2" t="s">
        <v>21</v>
      </c>
      <c r="G54" s="4" t="s">
        <v>21</v>
      </c>
      <c r="H54" s="9" t="s">
        <v>30</v>
      </c>
      <c r="I54" s="5" t="s">
        <v>21</v>
      </c>
      <c r="J54" s="2" t="s">
        <v>30</v>
      </c>
      <c r="K54" s="2" t="s">
        <v>21</v>
      </c>
      <c r="L54" s="2" t="s">
        <v>97</v>
      </c>
      <c r="M54" s="2" t="s">
        <v>97</v>
      </c>
      <c r="N54" s="2" t="s">
        <v>25</v>
      </c>
      <c r="O54" s="2">
        <v>38875376</v>
      </c>
      <c r="P54" s="2" t="s">
        <v>115</v>
      </c>
      <c r="Q54" s="2" t="s">
        <v>47</v>
      </c>
      <c r="R54" s="2" t="s">
        <v>97</v>
      </c>
      <c r="S54" s="2" t="s">
        <v>33</v>
      </c>
    </row>
    <row r="55" spans="1:19" ht="21">
      <c r="A55" s="2" t="s">
        <v>19</v>
      </c>
      <c r="B55" s="2">
        <v>38879003</v>
      </c>
      <c r="C55" s="2" t="s">
        <v>117</v>
      </c>
      <c r="D55" s="2" t="s">
        <v>30</v>
      </c>
      <c r="E55" s="2" t="s">
        <v>118</v>
      </c>
      <c r="F55" s="2" t="s">
        <v>30</v>
      </c>
      <c r="G55" s="4" t="s">
        <v>30</v>
      </c>
      <c r="H55" s="10" t="s">
        <v>43</v>
      </c>
      <c r="I55" s="5" t="s">
        <v>30</v>
      </c>
      <c r="J55" s="2" t="s">
        <v>43</v>
      </c>
      <c r="K55" s="2" t="s">
        <v>30</v>
      </c>
      <c r="L55" s="2" t="s">
        <v>97</v>
      </c>
      <c r="M55" s="2" t="s">
        <v>97</v>
      </c>
      <c r="N55" s="2" t="s">
        <v>25</v>
      </c>
      <c r="O55" s="2">
        <v>38877382</v>
      </c>
      <c r="P55" s="2" t="s">
        <v>115</v>
      </c>
      <c r="Q55" s="2" t="s">
        <v>47</v>
      </c>
      <c r="R55" s="2" t="s">
        <v>97</v>
      </c>
      <c r="S55" s="2" t="s">
        <v>33</v>
      </c>
    </row>
    <row r="56" spans="1:19" ht="21">
      <c r="A56" s="2" t="s">
        <v>19</v>
      </c>
      <c r="B56" s="2">
        <v>38881761</v>
      </c>
      <c r="C56" s="2" t="s">
        <v>119</v>
      </c>
      <c r="D56" s="2" t="s">
        <v>21</v>
      </c>
      <c r="E56" s="2" t="s">
        <v>39</v>
      </c>
      <c r="F56" s="2" t="s">
        <v>21</v>
      </c>
      <c r="G56" s="3" t="s">
        <v>30</v>
      </c>
      <c r="H56" s="7" t="s">
        <v>30</v>
      </c>
      <c r="I56" s="2" t="s">
        <v>21</v>
      </c>
      <c r="J56" s="2" t="s">
        <v>30</v>
      </c>
      <c r="K56" s="2" t="s">
        <v>21</v>
      </c>
      <c r="L56" s="2" t="s">
        <v>24</v>
      </c>
      <c r="M56" s="2" t="s">
        <v>24</v>
      </c>
      <c r="N56" s="2" t="s">
        <v>25</v>
      </c>
      <c r="O56" s="2">
        <v>38880140</v>
      </c>
      <c r="P56" s="2" t="s">
        <v>115</v>
      </c>
      <c r="Q56" s="2" t="s">
        <v>47</v>
      </c>
      <c r="R56" s="2" t="s">
        <v>28</v>
      </c>
      <c r="S56" s="2" t="s">
        <v>33</v>
      </c>
    </row>
    <row r="57" spans="1:19" ht="21">
      <c r="A57" s="2" t="s">
        <v>19</v>
      </c>
      <c r="B57" s="2">
        <v>38881766</v>
      </c>
      <c r="C57" s="2" t="s">
        <v>120</v>
      </c>
      <c r="D57" s="2" t="s">
        <v>21</v>
      </c>
      <c r="E57" s="2" t="s">
        <v>39</v>
      </c>
      <c r="F57" s="2" t="s">
        <v>21</v>
      </c>
      <c r="G57" s="3" t="s">
        <v>30</v>
      </c>
      <c r="H57" s="2" t="s">
        <v>30</v>
      </c>
      <c r="I57" s="2" t="s">
        <v>21</v>
      </c>
      <c r="J57" s="2" t="s">
        <v>30</v>
      </c>
      <c r="K57" s="2" t="s">
        <v>21</v>
      </c>
      <c r="L57" s="2" t="s">
        <v>24</v>
      </c>
      <c r="M57" s="2" t="s">
        <v>24</v>
      </c>
      <c r="N57" s="2" t="s">
        <v>25</v>
      </c>
      <c r="O57" s="2">
        <v>38880145</v>
      </c>
      <c r="P57" s="2" t="s">
        <v>115</v>
      </c>
      <c r="Q57" s="2" t="s">
        <v>47</v>
      </c>
      <c r="R57" s="2" t="s">
        <v>28</v>
      </c>
      <c r="S57" s="2" t="s">
        <v>33</v>
      </c>
    </row>
    <row r="58" spans="1:19" ht="21">
      <c r="A58" s="2" t="s">
        <v>19</v>
      </c>
      <c r="B58" s="2">
        <v>38881773</v>
      </c>
      <c r="C58" s="2" t="s">
        <v>121</v>
      </c>
      <c r="D58" s="2" t="s">
        <v>30</v>
      </c>
      <c r="E58" s="2" t="s">
        <v>60</v>
      </c>
      <c r="F58" s="2" t="s">
        <v>30</v>
      </c>
      <c r="G58" s="3" t="s">
        <v>21</v>
      </c>
      <c r="H58" s="2" t="s">
        <v>21</v>
      </c>
      <c r="I58" s="2" t="s">
        <v>30</v>
      </c>
      <c r="J58" s="2" t="s">
        <v>21</v>
      </c>
      <c r="K58" s="2" t="s">
        <v>30</v>
      </c>
      <c r="L58" s="2" t="s">
        <v>24</v>
      </c>
      <c r="M58" s="2" t="s">
        <v>24</v>
      </c>
      <c r="N58" s="2" t="s">
        <v>25</v>
      </c>
      <c r="O58" s="2">
        <v>38880152</v>
      </c>
      <c r="P58" s="2" t="s">
        <v>115</v>
      </c>
      <c r="Q58" s="2" t="s">
        <v>47</v>
      </c>
      <c r="R58" s="2" t="s">
        <v>28</v>
      </c>
      <c r="S58" s="2" t="s">
        <v>33</v>
      </c>
    </row>
    <row r="59" spans="1:19" ht="21">
      <c r="A59" s="2" t="s">
        <v>19</v>
      </c>
      <c r="B59" s="2">
        <v>38886420</v>
      </c>
      <c r="C59" s="2" t="s">
        <v>122</v>
      </c>
      <c r="D59" s="2" t="s">
        <v>21</v>
      </c>
      <c r="E59" s="2" t="s">
        <v>35</v>
      </c>
      <c r="F59" s="2" t="s">
        <v>21</v>
      </c>
      <c r="G59" s="3" t="s">
        <v>30</v>
      </c>
      <c r="H59" s="2" t="s">
        <v>30</v>
      </c>
      <c r="I59" s="2" t="s">
        <v>21</v>
      </c>
      <c r="J59" s="2" t="s">
        <v>30</v>
      </c>
      <c r="K59" s="2" t="s">
        <v>21</v>
      </c>
      <c r="L59" s="2" t="s">
        <v>24</v>
      </c>
      <c r="M59" s="2" t="s">
        <v>24</v>
      </c>
      <c r="N59" s="2" t="s">
        <v>25</v>
      </c>
      <c r="O59" s="2">
        <v>38884799</v>
      </c>
      <c r="P59" s="2" t="s">
        <v>115</v>
      </c>
      <c r="Q59" s="2" t="s">
        <v>47</v>
      </c>
      <c r="R59" s="2" t="s">
        <v>28</v>
      </c>
      <c r="S59" s="2"/>
    </row>
    <row r="60" spans="1:19" ht="21">
      <c r="A60" s="2" t="s">
        <v>19</v>
      </c>
      <c r="B60" s="2">
        <v>38892649</v>
      </c>
      <c r="C60" s="2" t="s">
        <v>123</v>
      </c>
      <c r="D60" s="2" t="s">
        <v>23</v>
      </c>
      <c r="E60" s="2" t="s">
        <v>124</v>
      </c>
      <c r="F60" s="2" t="s">
        <v>23</v>
      </c>
      <c r="G60" s="3" t="s">
        <v>43</v>
      </c>
      <c r="H60" s="6" t="s">
        <v>43</v>
      </c>
      <c r="I60" s="2" t="s">
        <v>43</v>
      </c>
      <c r="J60" s="2" t="s">
        <v>43</v>
      </c>
      <c r="K60" s="2" t="s">
        <v>43</v>
      </c>
      <c r="L60" s="2" t="s">
        <v>24</v>
      </c>
      <c r="M60" s="2" t="s">
        <v>24</v>
      </c>
      <c r="N60" s="2" t="s">
        <v>25</v>
      </c>
      <c r="O60" s="2">
        <v>38891028</v>
      </c>
      <c r="P60" s="2" t="s">
        <v>115</v>
      </c>
      <c r="Q60" s="2" t="s">
        <v>47</v>
      </c>
      <c r="R60" s="2" t="s">
        <v>28</v>
      </c>
      <c r="S60" s="2"/>
    </row>
    <row r="61" spans="1:19" ht="21">
      <c r="A61" s="2" t="s">
        <v>19</v>
      </c>
      <c r="B61" s="2">
        <v>38894579</v>
      </c>
      <c r="C61" s="2" t="s">
        <v>125</v>
      </c>
      <c r="D61" s="2" t="s">
        <v>43</v>
      </c>
      <c r="E61" s="2" t="s">
        <v>49</v>
      </c>
      <c r="F61" s="2" t="s">
        <v>43</v>
      </c>
      <c r="G61" s="4" t="s">
        <v>43</v>
      </c>
      <c r="H61" s="11" t="s">
        <v>23</v>
      </c>
      <c r="I61" s="5" t="s">
        <v>43</v>
      </c>
      <c r="J61" s="2" t="s">
        <v>23</v>
      </c>
      <c r="K61" s="2" t="s">
        <v>43</v>
      </c>
      <c r="L61" s="2" t="s">
        <v>97</v>
      </c>
      <c r="M61" s="2" t="s">
        <v>97</v>
      </c>
      <c r="N61" s="2" t="s">
        <v>25</v>
      </c>
      <c r="O61" s="2">
        <v>38892958</v>
      </c>
      <c r="P61" s="2" t="s">
        <v>115</v>
      </c>
      <c r="Q61" s="2" t="s">
        <v>47</v>
      </c>
      <c r="R61" s="2" t="s">
        <v>97</v>
      </c>
      <c r="S61" s="2" t="s">
        <v>33</v>
      </c>
    </row>
    <row r="62" spans="1:19" ht="21">
      <c r="A62" s="2" t="s">
        <v>19</v>
      </c>
      <c r="B62" s="2">
        <v>38905731</v>
      </c>
      <c r="C62" s="2" t="s">
        <v>126</v>
      </c>
      <c r="D62" s="2" t="s">
        <v>23</v>
      </c>
      <c r="E62" s="2" t="s">
        <v>107</v>
      </c>
      <c r="F62" s="2" t="s">
        <v>23</v>
      </c>
      <c r="G62" s="3" t="s">
        <v>21</v>
      </c>
      <c r="H62" s="7" t="s">
        <v>21</v>
      </c>
      <c r="I62" s="12" t="s">
        <v>23</v>
      </c>
      <c r="J62" s="2" t="s">
        <v>21</v>
      </c>
      <c r="K62" s="2" t="s">
        <v>23</v>
      </c>
      <c r="L62" s="2" t="s">
        <v>24</v>
      </c>
      <c r="M62" s="2" t="s">
        <v>24</v>
      </c>
      <c r="N62" s="2" t="s">
        <v>25</v>
      </c>
      <c r="O62" s="2">
        <v>38904110</v>
      </c>
      <c r="P62" s="2" t="s">
        <v>115</v>
      </c>
      <c r="Q62" s="2" t="s">
        <v>47</v>
      </c>
      <c r="R62" s="2" t="s">
        <v>24</v>
      </c>
      <c r="S62" s="2"/>
    </row>
    <row r="63" spans="1:19">
      <c r="A63" s="1"/>
      <c r="B63" s="1"/>
      <c r="C63" s="1"/>
      <c r="D63" s="1"/>
      <c r="E63" s="1"/>
      <c r="F63" s="1"/>
      <c r="G63" s="1"/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1">
      <c r="K64" s="13"/>
    </row>
    <row r="65" spans="11:11" ht="21">
      <c r="K65" s="13"/>
    </row>
    <row r="66" spans="11:11" ht="21">
      <c r="K66" s="13"/>
    </row>
  </sheetData>
  <conditionalFormatting sqref="D2:D62 J2:J62">
    <cfRule type="containsText" dxfId="51" priority="33" operator="containsText" text="A">
      <formula>NOT(ISERROR(SEARCH("A",D2)))</formula>
    </cfRule>
    <cfRule type="containsText" dxfId="50" priority="32" operator="containsText" text="G">
      <formula>NOT(ISERROR(SEARCH("G",D2)))</formula>
    </cfRule>
    <cfRule type="containsText" dxfId="49" priority="31" operator="containsText" text="C">
      <formula>NOT(ISERROR(SEARCH("C",D2)))</formula>
    </cfRule>
    <cfRule type="containsText" dxfId="48" priority="30" operator="containsText" text="T">
      <formula>NOT(ISERROR(SEARCH("T",D2)))</formula>
    </cfRule>
  </conditionalFormatting>
  <conditionalFormatting sqref="G2:G62">
    <cfRule type="containsText" dxfId="47" priority="37" operator="containsText" text="A">
      <formula>NOT(ISERROR(SEARCH("A",G2)))</formula>
    </cfRule>
    <cfRule type="containsText" dxfId="46" priority="36" operator="containsText" text="G">
      <formula>NOT(ISERROR(SEARCH("G",G2)))</formula>
    </cfRule>
    <cfRule type="containsText" dxfId="45" priority="35" operator="containsText" text="T">
      <formula>NOT(ISERROR(SEARCH("T",G2)))</formula>
    </cfRule>
    <cfRule type="containsText" dxfId="44" priority="34" operator="containsText" text="C">
      <formula>NOT(ISERROR(SEARCH("C",G2)))</formula>
    </cfRule>
  </conditionalFormatting>
  <conditionalFormatting sqref="H41:H42 H50:H52 H54:H55">
    <cfRule type="containsText" dxfId="43" priority="26" operator="containsText" text="T">
      <formula>NOT(ISERROR(SEARCH("T",H41)))</formula>
    </cfRule>
  </conditionalFormatting>
  <conditionalFormatting sqref="H41:H42 H54:H55 H50:H52">
    <cfRule type="containsText" dxfId="42" priority="25" operator="containsText" text="C">
      <formula>NOT(ISERROR(SEARCH("C",H41)))</formula>
    </cfRule>
  </conditionalFormatting>
  <conditionalFormatting sqref="H41:H42 H54:H55">
    <cfRule type="containsText" dxfId="41" priority="24" operator="containsText" text="G">
      <formula>NOT(ISERROR(SEARCH("G",H41)))</formula>
    </cfRule>
  </conditionalFormatting>
  <conditionalFormatting sqref="H45:H47">
    <cfRule type="containsText" dxfId="40" priority="15" operator="containsText" text="A">
      <formula>NOT(ISERROR(SEARCH("A",H45)))</formula>
    </cfRule>
  </conditionalFormatting>
  <conditionalFormatting sqref="H46">
    <cfRule type="containsText" dxfId="39" priority="14" operator="containsText" text="G">
      <formula>NOT(ISERROR(SEARCH("G",H46)))</formula>
    </cfRule>
  </conditionalFormatting>
  <conditionalFormatting sqref="H46:H47">
    <cfRule type="containsText" dxfId="38" priority="10" operator="containsText" text="C">
      <formula>NOT(ISERROR(SEARCH("C",H46)))</formula>
    </cfRule>
    <cfRule type="containsText" dxfId="37" priority="11" operator="containsText" text="T">
      <formula>NOT(ISERROR(SEARCH("T",H46)))</formula>
    </cfRule>
  </conditionalFormatting>
  <conditionalFormatting sqref="H47:H52">
    <cfRule type="containsText" dxfId="36" priority="3" operator="containsText" text="G">
      <formula>NOT(ISERROR(SEARCH("G",H47)))</formula>
    </cfRule>
  </conditionalFormatting>
  <conditionalFormatting sqref="H48:H49">
    <cfRule type="containsText" dxfId="35" priority="2" operator="containsText" text="T">
      <formula>NOT(ISERROR(SEARCH("T",H48)))</formula>
    </cfRule>
    <cfRule type="containsText" dxfId="34" priority="4" operator="containsText" text="A">
      <formula>NOT(ISERROR(SEARCH("A",H48)))</formula>
    </cfRule>
    <cfRule type="containsText" dxfId="33" priority="1" operator="containsText" text="C">
      <formula>NOT(ISERROR(SEARCH("C",H48)))</formula>
    </cfRule>
  </conditionalFormatting>
  <conditionalFormatting sqref="H50:H52">
    <cfRule type="containsText" dxfId="32" priority="27" operator="containsText" text="A">
      <formula>NOT(ISERROR(SEARCH("A",H50)))</formula>
    </cfRule>
  </conditionalFormatting>
  <conditionalFormatting sqref="J2:K62 K64:K66">
    <cfRule type="containsText" dxfId="31" priority="42" operator="containsText" text="R">
      <formula>NOT(ISERROR(SEARCH("R",J2)))</formula>
    </cfRule>
  </conditionalFormatting>
  <conditionalFormatting sqref="L1:M62">
    <cfRule type="containsText" dxfId="30" priority="39" operator="containsText" text="NO">
      <formula>NOT(ISERROR(SEARCH("NO",L1)))</formula>
    </cfRule>
  </conditionalFormatting>
  <conditionalFormatting sqref="L2:M62">
    <cfRule type="containsText" dxfId="29" priority="38" operator="containsText" text="N">
      <formula>NOT(ISERROR(SEARCH("N",L2)))</formula>
    </cfRule>
    <cfRule type="containsText" dxfId="28" priority="40" operator="containsText" text="Y">
      <formula>NOT(ISERROR(SEARCH("Y",L2)))</formula>
    </cfRule>
  </conditionalFormatting>
  <conditionalFormatting sqref="R2:R62">
    <cfRule type="containsText" dxfId="27" priority="23" operator="containsText" text="YES">
      <formula>NOT(ISERROR(SEARCH("YES",R2)))</formula>
    </cfRule>
    <cfRule type="containsText" dxfId="26" priority="22" operator="containsText" text="NO">
      <formula>NOT(ISERROR(SEARCH("NO",R2)))</formula>
    </cfRule>
    <cfRule type="cellIs" dxfId="25" priority="19" operator="equal">
      <formula>"Y "</formula>
    </cfRule>
    <cfRule type="cellIs" dxfId="24" priority="18" operator="equal">
      <formula>"Y"</formula>
    </cfRule>
    <cfRule type="cellIs" dxfId="23" priority="17" operator="equal">
      <formula>"N"</formula>
    </cfRule>
    <cfRule type="cellIs" dxfId="22" priority="21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B20"/>
  <sheetViews>
    <sheetView workbookViewId="0"/>
  </sheetViews>
  <sheetFormatPr baseColWidth="10" defaultRowHeight="15"/>
  <cols>
    <col min="1" max="1" width="47" customWidth="1"/>
    <col min="2" max="2" width="105" customWidth="1"/>
  </cols>
  <sheetData>
    <row r="1" spans="1:2" ht="21">
      <c r="A1" s="48" t="s">
        <v>127</v>
      </c>
      <c r="B1" s="48" t="s">
        <v>128</v>
      </c>
    </row>
    <row r="2" spans="1:2" ht="21">
      <c r="A2" s="14" t="s">
        <v>0</v>
      </c>
      <c r="B2" s="15" t="s">
        <v>129</v>
      </c>
    </row>
    <row r="3" spans="1:2" ht="21">
      <c r="A3" s="14" t="s">
        <v>1</v>
      </c>
      <c r="B3" s="15" t="s">
        <v>130</v>
      </c>
    </row>
    <row r="4" spans="1:2" ht="21">
      <c r="A4" s="14" t="s">
        <v>2</v>
      </c>
      <c r="B4" s="15" t="s">
        <v>131</v>
      </c>
    </row>
    <row r="5" spans="1:2" ht="21">
      <c r="A5" s="14" t="s">
        <v>3</v>
      </c>
      <c r="B5" s="15" t="s">
        <v>132</v>
      </c>
    </row>
    <row r="6" spans="1:2" ht="21">
      <c r="A6" s="14" t="s">
        <v>4</v>
      </c>
      <c r="B6" s="15" t="s">
        <v>133</v>
      </c>
    </row>
    <row r="7" spans="1:2" ht="21">
      <c r="A7" s="14" t="s">
        <v>5</v>
      </c>
      <c r="B7" s="15" t="s">
        <v>134</v>
      </c>
    </row>
    <row r="8" spans="1:2" ht="21">
      <c r="A8" s="14" t="s">
        <v>6</v>
      </c>
      <c r="B8" s="15" t="s">
        <v>135</v>
      </c>
    </row>
    <row r="9" spans="1:2" ht="21">
      <c r="A9" s="14" t="s">
        <v>7</v>
      </c>
      <c r="B9" s="15" t="s">
        <v>136</v>
      </c>
    </row>
    <row r="10" spans="1:2" ht="21">
      <c r="A10" s="14" t="s">
        <v>8</v>
      </c>
      <c r="B10" s="15" t="s">
        <v>137</v>
      </c>
    </row>
    <row r="11" spans="1:2" ht="21">
      <c r="A11" s="14" t="s">
        <v>9</v>
      </c>
      <c r="B11" s="15" t="s">
        <v>138</v>
      </c>
    </row>
    <row r="12" spans="1:2" ht="21">
      <c r="A12" s="14" t="s">
        <v>10</v>
      </c>
      <c r="B12" s="15" t="s">
        <v>139</v>
      </c>
    </row>
    <row r="13" spans="1:2" ht="21">
      <c r="A13" s="14" t="s">
        <v>11</v>
      </c>
      <c r="B13" s="15" t="s">
        <v>140</v>
      </c>
    </row>
    <row r="14" spans="1:2" ht="21">
      <c r="A14" s="14" t="s">
        <v>12</v>
      </c>
      <c r="B14" s="15" t="s">
        <v>141</v>
      </c>
    </row>
    <row r="15" spans="1:2" ht="21">
      <c r="A15" s="14" t="s">
        <v>13</v>
      </c>
      <c r="B15" s="15" t="s">
        <v>142</v>
      </c>
    </row>
    <row r="16" spans="1:2" ht="21">
      <c r="A16" s="14" t="s">
        <v>14</v>
      </c>
      <c r="B16" s="15" t="s">
        <v>143</v>
      </c>
    </row>
    <row r="17" spans="1:2" ht="21">
      <c r="A17" s="14" t="s">
        <v>15</v>
      </c>
      <c r="B17" s="15" t="s">
        <v>144</v>
      </c>
    </row>
    <row r="18" spans="1:2" ht="21">
      <c r="A18" s="14" t="s">
        <v>16</v>
      </c>
      <c r="B18" s="15" t="s">
        <v>145</v>
      </c>
    </row>
    <row r="19" spans="1:2" ht="21">
      <c r="A19" s="14" t="s">
        <v>17</v>
      </c>
      <c r="B19" s="15" t="s">
        <v>146</v>
      </c>
    </row>
    <row r="20" spans="1:2" ht="21">
      <c r="A20" s="14" t="s">
        <v>18</v>
      </c>
      <c r="B20" s="15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O50"/>
  <sheetViews>
    <sheetView topLeftCell="F10" zoomScale="43" workbookViewId="0">
      <selection activeCell="I42" sqref="I42:I56"/>
    </sheetView>
  </sheetViews>
  <sheetFormatPr baseColWidth="10" defaultRowHeight="15"/>
  <cols>
    <col min="2" max="2" width="17.5" customWidth="1"/>
    <col min="3" max="3" width="21.33203125" customWidth="1"/>
    <col min="4" max="4" width="38.1640625" customWidth="1"/>
    <col min="5" max="5" width="49.83203125" customWidth="1"/>
    <col min="6" max="6" width="35.1640625" customWidth="1"/>
    <col min="7" max="7" width="33.6640625" customWidth="1"/>
    <col min="8" max="8" width="64.5" customWidth="1"/>
    <col min="9" max="9" width="30.33203125" customWidth="1"/>
    <col min="10" max="10" width="21.6640625" customWidth="1"/>
    <col min="11" max="11" width="19.5" customWidth="1"/>
    <col min="12" max="12" width="44.6640625" customWidth="1"/>
    <col min="13" max="13" width="36.5" customWidth="1"/>
    <col min="14" max="14" width="46.83203125" customWidth="1"/>
    <col min="15" max="15" width="61.1640625" customWidth="1"/>
  </cols>
  <sheetData>
    <row r="1" spans="1:15" ht="21">
      <c r="A1" s="48" t="s">
        <v>0</v>
      </c>
      <c r="B1" s="48" t="s">
        <v>1</v>
      </c>
      <c r="C1" s="48" t="s">
        <v>14</v>
      </c>
      <c r="D1" s="48" t="s">
        <v>2</v>
      </c>
      <c r="E1" s="48" t="s">
        <v>3</v>
      </c>
      <c r="F1" s="48" t="s">
        <v>6</v>
      </c>
      <c r="G1" s="48" t="s">
        <v>9</v>
      </c>
      <c r="H1" s="48" t="s">
        <v>11</v>
      </c>
      <c r="I1" s="48" t="s">
        <v>12</v>
      </c>
      <c r="J1" s="48" t="s">
        <v>13</v>
      </c>
      <c r="K1" s="48" t="s">
        <v>15</v>
      </c>
      <c r="L1" s="48" t="s">
        <v>16</v>
      </c>
      <c r="M1" s="48" t="s">
        <v>17</v>
      </c>
      <c r="N1" s="48" t="s">
        <v>148</v>
      </c>
      <c r="O1" s="48" t="s">
        <v>18</v>
      </c>
    </row>
    <row r="2" spans="1:15" ht="21">
      <c r="A2" s="2">
        <v>4</v>
      </c>
      <c r="B2" s="2">
        <v>38760338</v>
      </c>
      <c r="C2" s="2">
        <v>38758717</v>
      </c>
      <c r="D2" s="2" t="s">
        <v>20</v>
      </c>
      <c r="E2" s="2" t="s">
        <v>21</v>
      </c>
      <c r="F2" s="2" t="s">
        <v>23</v>
      </c>
      <c r="G2" s="2" t="s">
        <v>23</v>
      </c>
      <c r="H2" s="2" t="s">
        <v>24</v>
      </c>
      <c r="I2" s="2" t="s">
        <v>24</v>
      </c>
      <c r="J2" s="2" t="s">
        <v>25</v>
      </c>
      <c r="K2" s="18" t="s">
        <v>26</v>
      </c>
      <c r="L2" s="2" t="s">
        <v>27</v>
      </c>
      <c r="M2" s="2" t="s">
        <v>24</v>
      </c>
      <c r="N2" s="2" t="s">
        <v>149</v>
      </c>
      <c r="O2" s="2"/>
    </row>
    <row r="3" spans="1:15" ht="21">
      <c r="A3" s="2">
        <v>4</v>
      </c>
      <c r="B3" s="2">
        <v>38765046</v>
      </c>
      <c r="C3" s="2">
        <v>38763425</v>
      </c>
      <c r="D3" s="2" t="s">
        <v>29</v>
      </c>
      <c r="E3" s="2" t="s">
        <v>30</v>
      </c>
      <c r="F3" s="2" t="s">
        <v>21</v>
      </c>
      <c r="G3" s="2" t="s">
        <v>21</v>
      </c>
      <c r="H3" s="2" t="s">
        <v>24</v>
      </c>
      <c r="I3" s="2" t="s">
        <v>24</v>
      </c>
      <c r="J3" s="2" t="s">
        <v>25</v>
      </c>
      <c r="K3" s="18" t="s">
        <v>26</v>
      </c>
      <c r="L3" s="2" t="s">
        <v>32</v>
      </c>
      <c r="M3" s="2" t="s">
        <v>24</v>
      </c>
      <c r="N3" s="2" t="s">
        <v>60</v>
      </c>
      <c r="O3" s="2" t="s">
        <v>33</v>
      </c>
    </row>
    <row r="4" spans="1:15" ht="21">
      <c r="A4" s="2">
        <v>4</v>
      </c>
      <c r="B4" s="2">
        <v>38766285</v>
      </c>
      <c r="C4" s="2">
        <v>38764664</v>
      </c>
      <c r="D4" s="2" t="s">
        <v>34</v>
      </c>
      <c r="E4" s="2" t="s">
        <v>21</v>
      </c>
      <c r="F4" s="2" t="s">
        <v>30</v>
      </c>
      <c r="G4" s="2" t="s">
        <v>30</v>
      </c>
      <c r="H4" s="2" t="s">
        <v>24</v>
      </c>
      <c r="I4" s="2" t="s">
        <v>24</v>
      </c>
      <c r="J4" s="2" t="s">
        <v>25</v>
      </c>
      <c r="K4" s="18"/>
      <c r="L4" s="2" t="s">
        <v>37</v>
      </c>
      <c r="M4" s="2" t="s">
        <v>24</v>
      </c>
      <c r="N4" s="2" t="s">
        <v>39</v>
      </c>
      <c r="O4" s="2"/>
    </row>
    <row r="5" spans="1:15" ht="21">
      <c r="A5" s="2">
        <v>4</v>
      </c>
      <c r="B5" s="2">
        <v>38767749</v>
      </c>
      <c r="C5" s="2">
        <v>38766128</v>
      </c>
      <c r="D5" s="2" t="s">
        <v>38</v>
      </c>
      <c r="E5" s="2" t="s">
        <v>21</v>
      </c>
      <c r="F5" s="2" t="s">
        <v>30</v>
      </c>
      <c r="G5" s="2" t="s">
        <v>30</v>
      </c>
      <c r="H5" s="2" t="s">
        <v>24</v>
      </c>
      <c r="I5" s="2" t="s">
        <v>24</v>
      </c>
      <c r="J5" s="2" t="s">
        <v>25</v>
      </c>
      <c r="K5" s="18"/>
      <c r="L5" s="2" t="s">
        <v>37</v>
      </c>
      <c r="M5" s="2" t="s">
        <v>24</v>
      </c>
      <c r="N5" s="2" t="s">
        <v>39</v>
      </c>
      <c r="O5" s="2"/>
    </row>
    <row r="6" spans="1:15" ht="21">
      <c r="A6" s="2">
        <v>4</v>
      </c>
      <c r="B6" s="2">
        <v>38769018</v>
      </c>
      <c r="C6" s="2">
        <v>38767397</v>
      </c>
      <c r="D6" s="2" t="s">
        <v>40</v>
      </c>
      <c r="E6" s="2" t="s">
        <v>30</v>
      </c>
      <c r="F6" s="2" t="s">
        <v>21</v>
      </c>
      <c r="G6" s="2" t="s">
        <v>21</v>
      </c>
      <c r="H6" s="2" t="s">
        <v>24</v>
      </c>
      <c r="I6" s="2" t="s">
        <v>24</v>
      </c>
      <c r="J6" s="2" t="s">
        <v>25</v>
      </c>
      <c r="K6" s="17" t="s">
        <v>41</v>
      </c>
      <c r="L6" s="2" t="s">
        <v>27</v>
      </c>
      <c r="M6" s="2" t="s">
        <v>24</v>
      </c>
      <c r="N6" s="2" t="s">
        <v>60</v>
      </c>
      <c r="O6" s="2"/>
    </row>
    <row r="7" spans="1:15" ht="21">
      <c r="A7" s="2">
        <v>4</v>
      </c>
      <c r="B7" s="2">
        <v>38777471</v>
      </c>
      <c r="C7" s="2">
        <v>38775850</v>
      </c>
      <c r="D7" s="2" t="s">
        <v>42</v>
      </c>
      <c r="E7" s="2" t="s">
        <v>43</v>
      </c>
      <c r="F7" s="2" t="s">
        <v>23</v>
      </c>
      <c r="G7" s="2" t="s">
        <v>23</v>
      </c>
      <c r="H7" s="2" t="s">
        <v>24</v>
      </c>
      <c r="I7" s="2" t="s">
        <v>24</v>
      </c>
      <c r="J7" s="2" t="s">
        <v>25</v>
      </c>
      <c r="K7" s="17" t="s">
        <v>41</v>
      </c>
      <c r="L7" s="2" t="s">
        <v>45</v>
      </c>
      <c r="M7" s="2" t="s">
        <v>24</v>
      </c>
      <c r="N7" s="2" t="s">
        <v>49</v>
      </c>
      <c r="O7" s="2"/>
    </row>
    <row r="8" spans="1:15" ht="21">
      <c r="A8" s="2">
        <v>4</v>
      </c>
      <c r="B8" s="2">
        <v>38778903</v>
      </c>
      <c r="C8" s="2">
        <v>38777282</v>
      </c>
      <c r="D8" s="2" t="s">
        <v>46</v>
      </c>
      <c r="E8" s="2" t="s">
        <v>21</v>
      </c>
      <c r="F8" s="2" t="s">
        <v>30</v>
      </c>
      <c r="G8" s="2" t="s">
        <v>30</v>
      </c>
      <c r="H8" s="2" t="s">
        <v>24</v>
      </c>
      <c r="I8" s="2" t="s">
        <v>24</v>
      </c>
      <c r="J8" s="2" t="s">
        <v>25</v>
      </c>
      <c r="K8" s="17" t="s">
        <v>41</v>
      </c>
      <c r="L8" s="2" t="s">
        <v>47</v>
      </c>
      <c r="M8" s="2" t="s">
        <v>24</v>
      </c>
      <c r="N8" s="2" t="s">
        <v>39</v>
      </c>
      <c r="O8" s="2"/>
    </row>
    <row r="9" spans="1:15" ht="21">
      <c r="A9" s="2">
        <v>4</v>
      </c>
      <c r="B9" s="2">
        <v>38779512</v>
      </c>
      <c r="C9" s="2">
        <v>38777891</v>
      </c>
      <c r="D9" s="2" t="s">
        <v>48</v>
      </c>
      <c r="E9" s="2" t="s">
        <v>43</v>
      </c>
      <c r="F9" s="2" t="s">
        <v>23</v>
      </c>
      <c r="G9" s="2" t="s">
        <v>23</v>
      </c>
      <c r="H9" s="2" t="s">
        <v>24</v>
      </c>
      <c r="I9" s="2" t="s">
        <v>24</v>
      </c>
      <c r="J9" s="2" t="s">
        <v>25</v>
      </c>
      <c r="K9" s="17" t="s">
        <v>41</v>
      </c>
      <c r="L9" s="2" t="s">
        <v>47</v>
      </c>
      <c r="M9" s="2" t="s">
        <v>24</v>
      </c>
      <c r="N9" s="2" t="s">
        <v>49</v>
      </c>
      <c r="O9" s="2" t="s">
        <v>33</v>
      </c>
    </row>
    <row r="10" spans="1:15" ht="21">
      <c r="A10" s="2">
        <v>4</v>
      </c>
      <c r="B10" s="2">
        <v>38780471</v>
      </c>
      <c r="C10" s="2">
        <v>38778850</v>
      </c>
      <c r="D10" s="2" t="s">
        <v>50</v>
      </c>
      <c r="E10" s="2" t="s">
        <v>23</v>
      </c>
      <c r="F10" s="2" t="s">
        <v>43</v>
      </c>
      <c r="G10" s="2" t="s">
        <v>43</v>
      </c>
      <c r="H10" s="2" t="s">
        <v>24</v>
      </c>
      <c r="I10" s="2" t="s">
        <v>24</v>
      </c>
      <c r="J10" s="2" t="s">
        <v>25</v>
      </c>
      <c r="K10" s="17" t="s">
        <v>41</v>
      </c>
      <c r="L10" s="2" t="s">
        <v>47</v>
      </c>
      <c r="M10" s="2" t="s">
        <v>24</v>
      </c>
      <c r="N10" s="2" t="s">
        <v>53</v>
      </c>
      <c r="O10" s="2"/>
    </row>
    <row r="11" spans="1:15" ht="21">
      <c r="A11" s="2">
        <v>4</v>
      </c>
      <c r="B11" s="2">
        <v>38783848</v>
      </c>
      <c r="C11" s="2">
        <v>38782227</v>
      </c>
      <c r="D11" s="2" t="s">
        <v>52</v>
      </c>
      <c r="E11" s="2" t="s">
        <v>23</v>
      </c>
      <c r="F11" s="2" t="s">
        <v>43</v>
      </c>
      <c r="G11" s="2" t="s">
        <v>43</v>
      </c>
      <c r="H11" s="2" t="s">
        <v>24</v>
      </c>
      <c r="I11" s="2" t="s">
        <v>24</v>
      </c>
      <c r="J11" s="2" t="s">
        <v>25</v>
      </c>
      <c r="K11" s="17" t="s">
        <v>41</v>
      </c>
      <c r="L11" s="2" t="s">
        <v>47</v>
      </c>
      <c r="M11" s="2" t="s">
        <v>24</v>
      </c>
      <c r="N11" s="2" t="s">
        <v>53</v>
      </c>
      <c r="O11" s="2"/>
    </row>
    <row r="12" spans="1:15" ht="21">
      <c r="A12" s="2">
        <v>4</v>
      </c>
      <c r="B12" s="2">
        <v>38789675</v>
      </c>
      <c r="C12" s="2">
        <v>38788054</v>
      </c>
      <c r="D12" s="2" t="s">
        <v>54</v>
      </c>
      <c r="E12" s="2" t="s">
        <v>21</v>
      </c>
      <c r="F12" s="2" t="s">
        <v>30</v>
      </c>
      <c r="G12" s="2" t="s">
        <v>30</v>
      </c>
      <c r="H12" s="2" t="s">
        <v>24</v>
      </c>
      <c r="I12" s="2" t="s">
        <v>24</v>
      </c>
      <c r="J12" s="2" t="s">
        <v>25</v>
      </c>
      <c r="K12" s="17" t="s">
        <v>56</v>
      </c>
      <c r="L12" s="2" t="s">
        <v>57</v>
      </c>
      <c r="M12" s="2" t="s">
        <v>24</v>
      </c>
      <c r="N12" s="2" t="s">
        <v>39</v>
      </c>
      <c r="O12" s="2"/>
    </row>
    <row r="13" spans="1:15" ht="21">
      <c r="A13" s="2">
        <v>4</v>
      </c>
      <c r="B13" s="2">
        <v>38796255</v>
      </c>
      <c r="C13" s="2">
        <v>38794634</v>
      </c>
      <c r="D13" s="2" t="s">
        <v>58</v>
      </c>
      <c r="E13" s="2" t="s">
        <v>21</v>
      </c>
      <c r="F13" s="2" t="s">
        <v>23</v>
      </c>
      <c r="G13" s="2" t="s">
        <v>23</v>
      </c>
      <c r="H13" s="2" t="s">
        <v>24</v>
      </c>
      <c r="I13" s="2" t="s">
        <v>24</v>
      </c>
      <c r="J13" s="2" t="s">
        <v>25</v>
      </c>
      <c r="K13" s="17" t="s">
        <v>56</v>
      </c>
      <c r="L13" s="2" t="s">
        <v>27</v>
      </c>
      <c r="M13" s="2" t="s">
        <v>24</v>
      </c>
      <c r="N13" s="2" t="s">
        <v>149</v>
      </c>
      <c r="O13" s="2"/>
    </row>
    <row r="14" spans="1:15" ht="21">
      <c r="A14" s="2">
        <v>4</v>
      </c>
      <c r="B14" s="2">
        <v>38802913</v>
      </c>
      <c r="C14" s="2">
        <v>38801292</v>
      </c>
      <c r="D14" s="2" t="s">
        <v>59</v>
      </c>
      <c r="E14" s="2" t="s">
        <v>30</v>
      </c>
      <c r="F14" s="2" t="s">
        <v>21</v>
      </c>
      <c r="G14" s="2" t="s">
        <v>21</v>
      </c>
      <c r="H14" s="2" t="s">
        <v>24</v>
      </c>
      <c r="I14" s="2" t="s">
        <v>24</v>
      </c>
      <c r="J14" s="2" t="s">
        <v>25</v>
      </c>
      <c r="K14" s="17" t="s">
        <v>56</v>
      </c>
      <c r="L14" s="2" t="s">
        <v>47</v>
      </c>
      <c r="M14" s="2" t="s">
        <v>24</v>
      </c>
      <c r="N14" s="2" t="s">
        <v>60</v>
      </c>
      <c r="O14" s="2"/>
    </row>
    <row r="15" spans="1:15" ht="21">
      <c r="A15" s="2">
        <v>4</v>
      </c>
      <c r="B15" s="2">
        <v>38803063</v>
      </c>
      <c r="C15" s="2">
        <v>38801442</v>
      </c>
      <c r="D15" s="2" t="s">
        <v>61</v>
      </c>
      <c r="E15" s="2" t="s">
        <v>30</v>
      </c>
      <c r="F15" s="2" t="s">
        <v>21</v>
      </c>
      <c r="G15" s="2" t="s">
        <v>21</v>
      </c>
      <c r="H15" s="2" t="s">
        <v>24</v>
      </c>
      <c r="I15" s="2" t="s">
        <v>24</v>
      </c>
      <c r="J15" s="2" t="s">
        <v>25</v>
      </c>
      <c r="K15" s="17" t="s">
        <v>56</v>
      </c>
      <c r="L15" s="2" t="s">
        <v>47</v>
      </c>
      <c r="M15" s="2" t="s">
        <v>24</v>
      </c>
      <c r="N15" s="2" t="s">
        <v>60</v>
      </c>
      <c r="O15" s="2"/>
    </row>
    <row r="16" spans="1:15" ht="21">
      <c r="A16" s="2">
        <v>4</v>
      </c>
      <c r="B16" s="2">
        <v>38803646</v>
      </c>
      <c r="C16" s="2">
        <v>38802025</v>
      </c>
      <c r="D16" s="2" t="s">
        <v>63</v>
      </c>
      <c r="E16" s="2" t="s">
        <v>23</v>
      </c>
      <c r="F16" s="2" t="s">
        <v>43</v>
      </c>
      <c r="G16" s="2" t="s">
        <v>43</v>
      </c>
      <c r="H16" s="2" t="s">
        <v>24</v>
      </c>
      <c r="I16" s="2" t="s">
        <v>24</v>
      </c>
      <c r="J16" s="2" t="s">
        <v>25</v>
      </c>
      <c r="K16" s="17" t="s">
        <v>56</v>
      </c>
      <c r="L16" s="2" t="s">
        <v>47</v>
      </c>
      <c r="M16" s="2" t="s">
        <v>24</v>
      </c>
      <c r="N16" s="2" t="s">
        <v>53</v>
      </c>
      <c r="O16" s="2"/>
    </row>
    <row r="17" spans="1:15" ht="21">
      <c r="A17" s="2">
        <v>4</v>
      </c>
      <c r="B17" s="2">
        <v>38803784</v>
      </c>
      <c r="C17" s="2">
        <v>38802163</v>
      </c>
      <c r="D17" s="2" t="s">
        <v>64</v>
      </c>
      <c r="E17" s="2" t="s">
        <v>43</v>
      </c>
      <c r="F17" s="2" t="s">
        <v>23</v>
      </c>
      <c r="G17" s="2" t="s">
        <v>23</v>
      </c>
      <c r="H17" s="2" t="s">
        <v>24</v>
      </c>
      <c r="I17" s="2" t="s">
        <v>24</v>
      </c>
      <c r="J17" s="2" t="s">
        <v>25</v>
      </c>
      <c r="K17" s="17" t="s">
        <v>56</v>
      </c>
      <c r="L17" s="2" t="s">
        <v>47</v>
      </c>
      <c r="M17" s="2" t="s">
        <v>24</v>
      </c>
      <c r="N17" s="2" t="s">
        <v>49</v>
      </c>
      <c r="O17" s="2"/>
    </row>
    <row r="18" spans="1:15" ht="21">
      <c r="A18" s="2">
        <v>4</v>
      </c>
      <c r="B18" s="2">
        <v>38804405</v>
      </c>
      <c r="C18" s="2">
        <v>38802784</v>
      </c>
      <c r="D18" s="2" t="s">
        <v>65</v>
      </c>
      <c r="E18" s="2" t="s">
        <v>43</v>
      </c>
      <c r="F18" s="2" t="s">
        <v>23</v>
      </c>
      <c r="G18" s="2" t="s">
        <v>23</v>
      </c>
      <c r="H18" s="2" t="s">
        <v>24</v>
      </c>
      <c r="I18" s="2" t="s">
        <v>24</v>
      </c>
      <c r="J18" s="2" t="s">
        <v>25</v>
      </c>
      <c r="K18" s="17" t="s">
        <v>56</v>
      </c>
      <c r="L18" s="2" t="s">
        <v>47</v>
      </c>
      <c r="M18" s="2" t="s">
        <v>24</v>
      </c>
      <c r="N18" s="2" t="s">
        <v>49</v>
      </c>
      <c r="O18" s="2"/>
    </row>
    <row r="19" spans="1:15" ht="21">
      <c r="A19" s="2">
        <v>4</v>
      </c>
      <c r="B19" s="2">
        <v>38805489</v>
      </c>
      <c r="C19" s="2">
        <v>38803868</v>
      </c>
      <c r="D19" s="2" t="s">
        <v>67</v>
      </c>
      <c r="E19" s="2" t="s">
        <v>43</v>
      </c>
      <c r="F19" s="2" t="s">
        <v>23</v>
      </c>
      <c r="G19" s="2" t="s">
        <v>23</v>
      </c>
      <c r="H19" s="2" t="s">
        <v>24</v>
      </c>
      <c r="I19" s="2" t="s">
        <v>24</v>
      </c>
      <c r="J19" s="2" t="s">
        <v>25</v>
      </c>
      <c r="K19" s="17" t="s">
        <v>56</v>
      </c>
      <c r="L19" s="2" t="s">
        <v>47</v>
      </c>
      <c r="M19" s="2" t="s">
        <v>24</v>
      </c>
      <c r="N19" s="2" t="s">
        <v>49</v>
      </c>
      <c r="O19" s="2"/>
    </row>
    <row r="20" spans="1:15" ht="21">
      <c r="A20" s="2">
        <v>4</v>
      </c>
      <c r="B20" s="2">
        <v>38805983</v>
      </c>
      <c r="C20" s="2">
        <v>38804362</v>
      </c>
      <c r="D20" s="2" t="s">
        <v>69</v>
      </c>
      <c r="E20" s="2" t="s">
        <v>23</v>
      </c>
      <c r="F20" s="2" t="s">
        <v>43</v>
      </c>
      <c r="G20" s="2" t="s">
        <v>43</v>
      </c>
      <c r="H20" s="2" t="s">
        <v>24</v>
      </c>
      <c r="I20" s="2" t="s">
        <v>24</v>
      </c>
      <c r="J20" s="2" t="s">
        <v>25</v>
      </c>
      <c r="K20" s="17" t="s">
        <v>56</v>
      </c>
      <c r="L20" s="2" t="s">
        <v>45</v>
      </c>
      <c r="M20" s="2" t="s">
        <v>24</v>
      </c>
      <c r="N20" s="2" t="s">
        <v>53</v>
      </c>
      <c r="O20" s="2"/>
    </row>
    <row r="21" spans="1:15" ht="21">
      <c r="A21" s="2">
        <v>4</v>
      </c>
      <c r="B21" s="2">
        <v>38806019</v>
      </c>
      <c r="C21" s="2">
        <v>38804398</v>
      </c>
      <c r="D21" s="2" t="s">
        <v>70</v>
      </c>
      <c r="E21" s="2" t="s">
        <v>30</v>
      </c>
      <c r="F21" s="2" t="s">
        <v>21</v>
      </c>
      <c r="G21" s="2" t="s">
        <v>21</v>
      </c>
      <c r="H21" s="2" t="s">
        <v>24</v>
      </c>
      <c r="I21" s="2" t="s">
        <v>24</v>
      </c>
      <c r="J21" s="2" t="s">
        <v>25</v>
      </c>
      <c r="K21" s="17" t="s">
        <v>56</v>
      </c>
      <c r="L21" s="2" t="s">
        <v>72</v>
      </c>
      <c r="M21" s="2" t="s">
        <v>24</v>
      </c>
      <c r="N21" s="2" t="s">
        <v>60</v>
      </c>
      <c r="O21" s="2"/>
    </row>
    <row r="22" spans="1:15" ht="21">
      <c r="A22" s="2">
        <v>4</v>
      </c>
      <c r="B22" s="2">
        <v>38806096</v>
      </c>
      <c r="C22" s="2">
        <v>38804475</v>
      </c>
      <c r="D22" s="2" t="s">
        <v>73</v>
      </c>
      <c r="E22" s="2" t="s">
        <v>23</v>
      </c>
      <c r="F22" s="2" t="s">
        <v>43</v>
      </c>
      <c r="G22" s="2" t="s">
        <v>43</v>
      </c>
      <c r="H22" s="2" t="s">
        <v>24</v>
      </c>
      <c r="I22" s="2" t="s">
        <v>24</v>
      </c>
      <c r="J22" s="2" t="s">
        <v>25</v>
      </c>
      <c r="K22" s="17" t="s">
        <v>56</v>
      </c>
      <c r="L22" s="2" t="s">
        <v>47</v>
      </c>
      <c r="M22" s="2" t="s">
        <v>24</v>
      </c>
      <c r="N22" s="2" t="s">
        <v>53</v>
      </c>
      <c r="O22" s="2"/>
    </row>
    <row r="23" spans="1:15" ht="21">
      <c r="A23" s="2">
        <v>4</v>
      </c>
      <c r="B23" s="2">
        <v>38806200</v>
      </c>
      <c r="C23" s="2">
        <v>38804579</v>
      </c>
      <c r="D23" s="2" t="s">
        <v>74</v>
      </c>
      <c r="E23" s="2" t="s">
        <v>21</v>
      </c>
      <c r="F23" s="2" t="s">
        <v>23</v>
      </c>
      <c r="G23" s="2" t="s">
        <v>23</v>
      </c>
      <c r="H23" s="2" t="s">
        <v>24</v>
      </c>
      <c r="I23" s="2" t="s">
        <v>24</v>
      </c>
      <c r="J23" s="2" t="s">
        <v>25</v>
      </c>
      <c r="K23" s="17" t="s">
        <v>56</v>
      </c>
      <c r="L23" s="2" t="s">
        <v>47</v>
      </c>
      <c r="M23" s="2" t="s">
        <v>24</v>
      </c>
      <c r="N23" s="2" t="s">
        <v>149</v>
      </c>
      <c r="O23" s="2"/>
    </row>
    <row r="24" spans="1:15" ht="21">
      <c r="A24" s="2">
        <v>4</v>
      </c>
      <c r="B24" s="2">
        <v>38806827</v>
      </c>
      <c r="C24" s="2">
        <v>38805206</v>
      </c>
      <c r="D24" s="2" t="s">
        <v>75</v>
      </c>
      <c r="E24" s="2" t="s">
        <v>21</v>
      </c>
      <c r="F24" s="2" t="s">
        <v>30</v>
      </c>
      <c r="G24" s="2" t="s">
        <v>30</v>
      </c>
      <c r="H24" s="2" t="s">
        <v>24</v>
      </c>
      <c r="I24" s="2" t="s">
        <v>24</v>
      </c>
      <c r="J24" s="2" t="s">
        <v>25</v>
      </c>
      <c r="K24" s="17" t="s">
        <v>56</v>
      </c>
      <c r="L24" s="2" t="s">
        <v>32</v>
      </c>
      <c r="M24" s="2" t="s">
        <v>24</v>
      </c>
      <c r="N24" s="2" t="s">
        <v>39</v>
      </c>
      <c r="O24" s="2"/>
    </row>
    <row r="25" spans="1:15" ht="21">
      <c r="A25" s="2">
        <v>4</v>
      </c>
      <c r="B25" s="2">
        <v>38806851</v>
      </c>
      <c r="C25" s="2">
        <v>38805230</v>
      </c>
      <c r="D25" s="2" t="s">
        <v>76</v>
      </c>
      <c r="E25" s="2" t="s">
        <v>30</v>
      </c>
      <c r="F25" s="2" t="s">
        <v>21</v>
      </c>
      <c r="G25" s="2" t="s">
        <v>21</v>
      </c>
      <c r="H25" s="2" t="s">
        <v>24</v>
      </c>
      <c r="I25" s="2" t="s">
        <v>24</v>
      </c>
      <c r="J25" s="2" t="s">
        <v>25</v>
      </c>
      <c r="K25" s="17" t="s">
        <v>56</v>
      </c>
      <c r="L25" s="2" t="s">
        <v>32</v>
      </c>
      <c r="M25" s="2" t="s">
        <v>24</v>
      </c>
      <c r="N25" s="2" t="s">
        <v>60</v>
      </c>
      <c r="O25" s="2"/>
    </row>
    <row r="26" spans="1:15" ht="21">
      <c r="A26" s="2">
        <v>4</v>
      </c>
      <c r="B26" s="2">
        <v>38807328</v>
      </c>
      <c r="C26" s="2">
        <v>38805707</v>
      </c>
      <c r="D26" s="2" t="s">
        <v>77</v>
      </c>
      <c r="E26" s="2" t="s">
        <v>30</v>
      </c>
      <c r="F26" s="2" t="s">
        <v>21</v>
      </c>
      <c r="G26" s="2" t="s">
        <v>21</v>
      </c>
      <c r="H26" s="2" t="s">
        <v>24</v>
      </c>
      <c r="I26" s="2" t="s">
        <v>24</v>
      </c>
      <c r="J26" s="2" t="s">
        <v>25</v>
      </c>
      <c r="K26" s="17" t="s">
        <v>56</v>
      </c>
      <c r="L26" s="2" t="s">
        <v>32</v>
      </c>
      <c r="M26" s="2" t="s">
        <v>24</v>
      </c>
      <c r="N26" s="2" t="s">
        <v>60</v>
      </c>
      <c r="O26" s="2"/>
    </row>
    <row r="27" spans="1:15" ht="21">
      <c r="A27" s="2">
        <v>4</v>
      </c>
      <c r="B27" s="2">
        <v>38808045</v>
      </c>
      <c r="C27" s="2">
        <v>38806424</v>
      </c>
      <c r="D27" s="2" t="s">
        <v>78</v>
      </c>
      <c r="E27" s="2" t="s">
        <v>30</v>
      </c>
      <c r="F27" s="2" t="s">
        <v>23</v>
      </c>
      <c r="G27" s="2" t="s">
        <v>23</v>
      </c>
      <c r="H27" s="2" t="s">
        <v>24</v>
      </c>
      <c r="I27" s="2" t="s">
        <v>24</v>
      </c>
      <c r="J27" s="2" t="s">
        <v>25</v>
      </c>
      <c r="K27" s="17" t="s">
        <v>56</v>
      </c>
      <c r="L27" s="2" t="s">
        <v>32</v>
      </c>
      <c r="M27" s="2" t="s">
        <v>24</v>
      </c>
      <c r="N27" s="2" t="s">
        <v>101</v>
      </c>
      <c r="O27" s="2" t="s">
        <v>33</v>
      </c>
    </row>
    <row r="28" spans="1:15" ht="21">
      <c r="A28" s="2">
        <v>4</v>
      </c>
      <c r="B28" s="2">
        <v>38808585</v>
      </c>
      <c r="C28" s="2">
        <v>38806964</v>
      </c>
      <c r="D28" s="2" t="s">
        <v>79</v>
      </c>
      <c r="E28" s="2" t="s">
        <v>21</v>
      </c>
      <c r="F28" s="2" t="s">
        <v>43</v>
      </c>
      <c r="G28" s="2" t="s">
        <v>43</v>
      </c>
      <c r="H28" s="2" t="s">
        <v>24</v>
      </c>
      <c r="I28" s="2" t="s">
        <v>24</v>
      </c>
      <c r="J28" s="2" t="s">
        <v>25</v>
      </c>
      <c r="K28" s="17" t="s">
        <v>56</v>
      </c>
      <c r="L28" s="2" t="s">
        <v>32</v>
      </c>
      <c r="M28" s="2" t="s">
        <v>24</v>
      </c>
      <c r="N28" s="2" t="s">
        <v>91</v>
      </c>
      <c r="O28" s="2" t="s">
        <v>33</v>
      </c>
    </row>
    <row r="29" spans="1:15" ht="21">
      <c r="A29" s="2">
        <v>4</v>
      </c>
      <c r="B29" s="2">
        <v>38808613</v>
      </c>
      <c r="C29" s="2">
        <v>38806992</v>
      </c>
      <c r="D29" s="2" t="s">
        <v>81</v>
      </c>
      <c r="E29" s="2" t="s">
        <v>21</v>
      </c>
      <c r="F29" s="2" t="s">
        <v>30</v>
      </c>
      <c r="G29" s="2" t="s">
        <v>30</v>
      </c>
      <c r="H29" s="2" t="s">
        <v>24</v>
      </c>
      <c r="I29" s="2" t="s">
        <v>24</v>
      </c>
      <c r="J29" s="2" t="s">
        <v>25</v>
      </c>
      <c r="K29" s="17" t="s">
        <v>56</v>
      </c>
      <c r="L29" s="2" t="s">
        <v>32</v>
      </c>
      <c r="M29" s="2" t="s">
        <v>24</v>
      </c>
      <c r="N29" s="2" t="s">
        <v>39</v>
      </c>
      <c r="O29" s="2" t="s">
        <v>33</v>
      </c>
    </row>
    <row r="30" spans="1:15" ht="21">
      <c r="A30" s="2">
        <v>4</v>
      </c>
      <c r="B30" s="2">
        <v>38809924</v>
      </c>
      <c r="C30" s="2">
        <v>38808303</v>
      </c>
      <c r="D30" s="2" t="s">
        <v>82</v>
      </c>
      <c r="E30" s="2" t="s">
        <v>21</v>
      </c>
      <c r="F30" s="2" t="s">
        <v>30</v>
      </c>
      <c r="G30" s="2" t="s">
        <v>30</v>
      </c>
      <c r="H30" s="2" t="s">
        <v>24</v>
      </c>
      <c r="I30" s="2" t="s">
        <v>24</v>
      </c>
      <c r="J30" s="2" t="s">
        <v>25</v>
      </c>
      <c r="K30" s="17" t="s">
        <v>56</v>
      </c>
      <c r="L30" s="2" t="s">
        <v>32</v>
      </c>
      <c r="M30" s="2" t="s">
        <v>24</v>
      </c>
      <c r="N30" s="2" t="s">
        <v>39</v>
      </c>
      <c r="O30" s="2"/>
    </row>
    <row r="31" spans="1:15" ht="21">
      <c r="A31" s="2">
        <v>4</v>
      </c>
      <c r="B31" s="2">
        <v>38810444</v>
      </c>
      <c r="C31" s="2">
        <v>38808823</v>
      </c>
      <c r="D31" s="2" t="s">
        <v>83</v>
      </c>
      <c r="E31" s="2" t="s">
        <v>43</v>
      </c>
      <c r="F31" s="2" t="s">
        <v>23</v>
      </c>
      <c r="G31" s="2" t="s">
        <v>23</v>
      </c>
      <c r="H31" s="2" t="s">
        <v>24</v>
      </c>
      <c r="I31" s="2" t="s">
        <v>24</v>
      </c>
      <c r="J31" s="2" t="s">
        <v>25</v>
      </c>
      <c r="K31" s="17" t="s">
        <v>56</v>
      </c>
      <c r="L31" s="2" t="s">
        <v>32</v>
      </c>
      <c r="M31" s="2" t="s">
        <v>24</v>
      </c>
      <c r="N31" s="2" t="s">
        <v>49</v>
      </c>
      <c r="O31" s="2"/>
    </row>
    <row r="32" spans="1:15" ht="21">
      <c r="A32" s="2">
        <v>4</v>
      </c>
      <c r="B32" s="2">
        <v>38810738</v>
      </c>
      <c r="C32" s="2">
        <v>38809117</v>
      </c>
      <c r="D32" s="2" t="s">
        <v>84</v>
      </c>
      <c r="E32" s="2" t="s">
        <v>43</v>
      </c>
      <c r="F32" s="2" t="s">
        <v>21</v>
      </c>
      <c r="G32" s="2" t="s">
        <v>21</v>
      </c>
      <c r="H32" s="2" t="s">
        <v>24</v>
      </c>
      <c r="I32" s="2" t="s">
        <v>24</v>
      </c>
      <c r="J32" s="2" t="s">
        <v>25</v>
      </c>
      <c r="K32" s="17" t="s">
        <v>56</v>
      </c>
      <c r="L32" s="2" t="s">
        <v>32</v>
      </c>
      <c r="M32" s="2" t="s">
        <v>24</v>
      </c>
      <c r="N32" s="2" t="s">
        <v>85</v>
      </c>
      <c r="O32" s="2"/>
    </row>
    <row r="33" spans="1:15" ht="21">
      <c r="A33" s="2">
        <v>4</v>
      </c>
      <c r="B33" s="2">
        <v>38810769</v>
      </c>
      <c r="C33" s="2">
        <v>38809148</v>
      </c>
      <c r="D33" s="2" t="s">
        <v>86</v>
      </c>
      <c r="E33" s="2" t="s">
        <v>43</v>
      </c>
      <c r="F33" s="2" t="s">
        <v>23</v>
      </c>
      <c r="G33" s="2" t="s">
        <v>23</v>
      </c>
      <c r="H33" s="2" t="s">
        <v>24</v>
      </c>
      <c r="I33" s="2" t="s">
        <v>24</v>
      </c>
      <c r="J33" s="2" t="s">
        <v>25</v>
      </c>
      <c r="K33" s="17" t="s">
        <v>56</v>
      </c>
      <c r="L33" s="2" t="s">
        <v>32</v>
      </c>
      <c r="M33" s="2" t="s">
        <v>24</v>
      </c>
      <c r="N33" s="2" t="s">
        <v>49</v>
      </c>
      <c r="O33" s="2"/>
    </row>
    <row r="34" spans="1:15" ht="21">
      <c r="A34" s="2">
        <v>4</v>
      </c>
      <c r="B34" s="2">
        <v>38810975</v>
      </c>
      <c r="C34" s="2">
        <v>38809354</v>
      </c>
      <c r="D34" s="2" t="s">
        <v>87</v>
      </c>
      <c r="E34" s="2" t="s">
        <v>43</v>
      </c>
      <c r="F34" s="2" t="s">
        <v>23</v>
      </c>
      <c r="G34" s="2" t="s">
        <v>23</v>
      </c>
      <c r="H34" s="2" t="s">
        <v>24</v>
      </c>
      <c r="I34" s="2" t="s">
        <v>24</v>
      </c>
      <c r="J34" s="2" t="s">
        <v>25</v>
      </c>
      <c r="K34" s="17" t="s">
        <v>56</v>
      </c>
      <c r="L34" s="2" t="s">
        <v>32</v>
      </c>
      <c r="M34" s="2" t="s">
        <v>24</v>
      </c>
      <c r="N34" s="2" t="s">
        <v>49</v>
      </c>
      <c r="O34" s="2"/>
    </row>
    <row r="35" spans="1:15" ht="21">
      <c r="A35" s="2">
        <v>4</v>
      </c>
      <c r="B35" s="2">
        <v>38811529</v>
      </c>
      <c r="C35" s="2">
        <v>38809908</v>
      </c>
      <c r="D35" s="2" t="s">
        <v>88</v>
      </c>
      <c r="E35" s="2" t="s">
        <v>23</v>
      </c>
      <c r="F35" s="2" t="s">
        <v>30</v>
      </c>
      <c r="G35" s="2" t="s">
        <v>30</v>
      </c>
      <c r="H35" s="2" t="s">
        <v>24</v>
      </c>
      <c r="I35" s="2" t="s">
        <v>24</v>
      </c>
      <c r="J35" s="2" t="s">
        <v>25</v>
      </c>
      <c r="K35" s="17" t="s">
        <v>56</v>
      </c>
      <c r="L35" s="2" t="s">
        <v>47</v>
      </c>
      <c r="M35" s="2" t="s">
        <v>24</v>
      </c>
      <c r="N35" s="2" t="s">
        <v>93</v>
      </c>
      <c r="O35" s="2"/>
    </row>
    <row r="36" spans="1:15" ht="21">
      <c r="A36" s="2">
        <v>4</v>
      </c>
      <c r="B36" s="2">
        <v>38811668</v>
      </c>
      <c r="C36" s="2">
        <v>38810047</v>
      </c>
      <c r="D36" s="2" t="s">
        <v>89</v>
      </c>
      <c r="E36" s="2" t="s">
        <v>21</v>
      </c>
      <c r="F36" s="2" t="s">
        <v>30</v>
      </c>
      <c r="G36" s="2" t="s">
        <v>30</v>
      </c>
      <c r="H36" s="2" t="s">
        <v>24</v>
      </c>
      <c r="I36" s="2" t="s">
        <v>24</v>
      </c>
      <c r="J36" s="2" t="s">
        <v>25</v>
      </c>
      <c r="K36" s="17" t="s">
        <v>56</v>
      </c>
      <c r="L36" s="2" t="s">
        <v>47</v>
      </c>
      <c r="M36" s="2" t="s">
        <v>24</v>
      </c>
      <c r="N36" s="2" t="s">
        <v>39</v>
      </c>
      <c r="O36" s="2"/>
    </row>
    <row r="37" spans="1:15" ht="21">
      <c r="A37" s="2">
        <v>4</v>
      </c>
      <c r="B37" s="2">
        <v>38811845</v>
      </c>
      <c r="C37" s="2">
        <v>38810224</v>
      </c>
      <c r="D37" s="2" t="s">
        <v>90</v>
      </c>
      <c r="E37" s="2" t="s">
        <v>21</v>
      </c>
      <c r="F37" s="2" t="s">
        <v>43</v>
      </c>
      <c r="G37" s="2" t="s">
        <v>43</v>
      </c>
      <c r="H37" s="2" t="s">
        <v>24</v>
      </c>
      <c r="I37" s="2" t="s">
        <v>24</v>
      </c>
      <c r="J37" s="2" t="s">
        <v>25</v>
      </c>
      <c r="K37" s="17" t="s">
        <v>56</v>
      </c>
      <c r="L37" s="2" t="s">
        <v>47</v>
      </c>
      <c r="M37" s="2" t="s">
        <v>24</v>
      </c>
      <c r="N37" s="2" t="s">
        <v>91</v>
      </c>
      <c r="O37" s="2"/>
    </row>
    <row r="38" spans="1:15" ht="21">
      <c r="A38" s="2">
        <v>4</v>
      </c>
      <c r="B38" s="2">
        <v>38812116</v>
      </c>
      <c r="C38" s="2">
        <v>38810495</v>
      </c>
      <c r="D38" s="2" t="s">
        <v>92</v>
      </c>
      <c r="E38" s="2" t="s">
        <v>23</v>
      </c>
      <c r="F38" s="2" t="s">
        <v>30</v>
      </c>
      <c r="G38" s="2" t="s">
        <v>30</v>
      </c>
      <c r="H38" s="2" t="s">
        <v>24</v>
      </c>
      <c r="I38" s="2" t="s">
        <v>24</v>
      </c>
      <c r="J38" s="2" t="s">
        <v>25</v>
      </c>
      <c r="K38" s="17" t="s">
        <v>56</v>
      </c>
      <c r="L38" s="2" t="s">
        <v>47</v>
      </c>
      <c r="M38" s="2" t="s">
        <v>24</v>
      </c>
      <c r="N38" s="2" t="s">
        <v>93</v>
      </c>
      <c r="O38" s="2"/>
    </row>
    <row r="39" spans="1:15" ht="21">
      <c r="A39" s="2">
        <v>4</v>
      </c>
      <c r="B39" s="2">
        <v>38812537</v>
      </c>
      <c r="C39" s="2">
        <v>38810916</v>
      </c>
      <c r="D39" s="2" t="s">
        <v>94</v>
      </c>
      <c r="E39" s="2" t="s">
        <v>30</v>
      </c>
      <c r="F39" s="2" t="s">
        <v>21</v>
      </c>
      <c r="G39" s="2" t="s">
        <v>21</v>
      </c>
      <c r="H39" s="2" t="s">
        <v>24</v>
      </c>
      <c r="I39" s="2" t="s">
        <v>24</v>
      </c>
      <c r="J39" s="2" t="s">
        <v>25</v>
      </c>
      <c r="K39" s="17" t="s">
        <v>56</v>
      </c>
      <c r="L39" s="2" t="s">
        <v>47</v>
      </c>
      <c r="M39" s="2" t="s">
        <v>24</v>
      </c>
      <c r="N39" s="2" t="s">
        <v>60</v>
      </c>
      <c r="O39" s="2"/>
    </row>
    <row r="40" spans="1:15" ht="21">
      <c r="A40" s="2">
        <v>4</v>
      </c>
      <c r="B40" s="2">
        <v>38814700</v>
      </c>
      <c r="C40" s="2">
        <v>38813079</v>
      </c>
      <c r="D40" s="2" t="s">
        <v>95</v>
      </c>
      <c r="E40" s="2" t="s">
        <v>30</v>
      </c>
      <c r="F40" s="2" t="s">
        <v>21</v>
      </c>
      <c r="G40" s="2" t="s">
        <v>21</v>
      </c>
      <c r="H40" s="2" t="s">
        <v>24</v>
      </c>
      <c r="I40" s="2" t="s">
        <v>24</v>
      </c>
      <c r="J40" s="2" t="s">
        <v>25</v>
      </c>
      <c r="K40" s="17" t="s">
        <v>56</v>
      </c>
      <c r="L40" s="2" t="s">
        <v>47</v>
      </c>
      <c r="M40" s="2" t="s">
        <v>24</v>
      </c>
      <c r="N40" s="2" t="s">
        <v>60</v>
      </c>
      <c r="O40" s="2"/>
    </row>
    <row r="41" spans="1:15" ht="21">
      <c r="A41" s="2">
        <v>4</v>
      </c>
      <c r="B41" s="2">
        <v>38833173</v>
      </c>
      <c r="C41" s="2">
        <v>38831552</v>
      </c>
      <c r="D41" s="2" t="s">
        <v>100</v>
      </c>
      <c r="E41" s="2" t="s">
        <v>30</v>
      </c>
      <c r="F41" s="2" t="s">
        <v>23</v>
      </c>
      <c r="G41" s="2" t="s">
        <v>23</v>
      </c>
      <c r="H41" s="2" t="s">
        <v>24</v>
      </c>
      <c r="I41" s="2" t="s">
        <v>24</v>
      </c>
      <c r="J41" s="2" t="s">
        <v>25</v>
      </c>
      <c r="K41" s="17" t="s">
        <v>98</v>
      </c>
      <c r="L41" s="2" t="s">
        <v>47</v>
      </c>
      <c r="M41" s="2" t="s">
        <v>24</v>
      </c>
      <c r="N41" s="2" t="s">
        <v>101</v>
      </c>
      <c r="O41" s="2"/>
    </row>
    <row r="42" spans="1:15" ht="21">
      <c r="A42" s="2">
        <v>4</v>
      </c>
      <c r="B42" s="2">
        <v>38835702</v>
      </c>
      <c r="C42" s="2">
        <v>38834081</v>
      </c>
      <c r="D42" s="2" t="s">
        <v>102</v>
      </c>
      <c r="E42" s="2" t="s">
        <v>23</v>
      </c>
      <c r="F42" s="2" t="s">
        <v>43</v>
      </c>
      <c r="G42" s="2" t="s">
        <v>43</v>
      </c>
      <c r="H42" s="2" t="s">
        <v>24</v>
      </c>
      <c r="I42" s="2" t="s">
        <v>24</v>
      </c>
      <c r="J42" s="2" t="s">
        <v>25</v>
      </c>
      <c r="K42" s="17" t="s">
        <v>98</v>
      </c>
      <c r="L42" s="2" t="s">
        <v>47</v>
      </c>
      <c r="M42" s="2" t="s">
        <v>24</v>
      </c>
      <c r="N42" s="2" t="s">
        <v>53</v>
      </c>
      <c r="O42" s="2"/>
    </row>
    <row r="43" spans="1:15" ht="21">
      <c r="A43" s="2">
        <v>4</v>
      </c>
      <c r="B43" s="2">
        <v>38836071</v>
      </c>
      <c r="C43" s="2">
        <v>38834450</v>
      </c>
      <c r="D43" s="2" t="s">
        <v>103</v>
      </c>
      <c r="E43" s="2" t="s">
        <v>21</v>
      </c>
      <c r="F43" s="2" t="s">
        <v>30</v>
      </c>
      <c r="G43" s="2" t="s">
        <v>30</v>
      </c>
      <c r="H43" s="2" t="s">
        <v>24</v>
      </c>
      <c r="I43" s="2" t="s">
        <v>24</v>
      </c>
      <c r="J43" s="2" t="s">
        <v>25</v>
      </c>
      <c r="K43" s="17" t="s">
        <v>98</v>
      </c>
      <c r="L43" s="2" t="s">
        <v>47</v>
      </c>
      <c r="M43" s="2" t="s">
        <v>24</v>
      </c>
      <c r="N43" s="2" t="s">
        <v>39</v>
      </c>
      <c r="O43" s="2"/>
    </row>
    <row r="44" spans="1:15" ht="21">
      <c r="A44" s="2">
        <v>4</v>
      </c>
      <c r="B44" s="2">
        <v>38871385</v>
      </c>
      <c r="C44" s="2">
        <v>38869764</v>
      </c>
      <c r="D44" s="2" t="s">
        <v>114</v>
      </c>
      <c r="E44" s="2" t="s">
        <v>23</v>
      </c>
      <c r="F44" s="2" t="s">
        <v>43</v>
      </c>
      <c r="G44" s="2" t="s">
        <v>43</v>
      </c>
      <c r="H44" s="2" t="s">
        <v>24</v>
      </c>
      <c r="I44" s="2" t="s">
        <v>24</v>
      </c>
      <c r="J44" s="2" t="s">
        <v>25</v>
      </c>
      <c r="K44" s="18" t="s">
        <v>115</v>
      </c>
      <c r="L44" s="2" t="s">
        <v>47</v>
      </c>
      <c r="M44" s="2" t="s">
        <v>24</v>
      </c>
      <c r="N44" s="2" t="s">
        <v>53</v>
      </c>
      <c r="O44" s="2"/>
    </row>
    <row r="45" spans="1:15" ht="21">
      <c r="A45" s="2">
        <v>4</v>
      </c>
      <c r="B45" s="2">
        <v>38881761</v>
      </c>
      <c r="C45" s="2">
        <v>38880140</v>
      </c>
      <c r="D45" s="2" t="s">
        <v>119</v>
      </c>
      <c r="E45" s="2" t="s">
        <v>21</v>
      </c>
      <c r="F45" s="2" t="s">
        <v>30</v>
      </c>
      <c r="G45" s="2" t="s">
        <v>30</v>
      </c>
      <c r="H45" s="2" t="s">
        <v>24</v>
      </c>
      <c r="I45" s="2" t="s">
        <v>24</v>
      </c>
      <c r="J45" s="2" t="s">
        <v>25</v>
      </c>
      <c r="K45" s="18" t="s">
        <v>115</v>
      </c>
      <c r="L45" s="2" t="s">
        <v>47</v>
      </c>
      <c r="M45" s="2" t="s">
        <v>24</v>
      </c>
      <c r="N45" s="2" t="s">
        <v>39</v>
      </c>
      <c r="O45" s="2" t="s">
        <v>33</v>
      </c>
    </row>
    <row r="46" spans="1:15" ht="21">
      <c r="A46" s="2">
        <v>4</v>
      </c>
      <c r="B46" s="2">
        <v>38881766</v>
      </c>
      <c r="C46" s="2">
        <v>38880145</v>
      </c>
      <c r="D46" s="2" t="s">
        <v>120</v>
      </c>
      <c r="E46" s="2" t="s">
        <v>21</v>
      </c>
      <c r="F46" s="2" t="s">
        <v>30</v>
      </c>
      <c r="G46" s="2" t="s">
        <v>30</v>
      </c>
      <c r="H46" s="2" t="s">
        <v>24</v>
      </c>
      <c r="I46" s="2" t="s">
        <v>24</v>
      </c>
      <c r="J46" s="2" t="s">
        <v>25</v>
      </c>
      <c r="K46" s="18" t="s">
        <v>115</v>
      </c>
      <c r="L46" s="2" t="s">
        <v>47</v>
      </c>
      <c r="M46" s="2" t="s">
        <v>24</v>
      </c>
      <c r="N46" s="2" t="s">
        <v>39</v>
      </c>
      <c r="O46" s="2" t="s">
        <v>33</v>
      </c>
    </row>
    <row r="47" spans="1:15" ht="21">
      <c r="A47" s="2">
        <v>4</v>
      </c>
      <c r="B47" s="2">
        <v>38881773</v>
      </c>
      <c r="C47" s="2">
        <v>38880152</v>
      </c>
      <c r="D47" s="2" t="s">
        <v>121</v>
      </c>
      <c r="E47" s="2" t="s">
        <v>30</v>
      </c>
      <c r="F47" s="2" t="s">
        <v>21</v>
      </c>
      <c r="G47" s="2" t="s">
        <v>21</v>
      </c>
      <c r="H47" s="2" t="s">
        <v>24</v>
      </c>
      <c r="I47" s="2" t="s">
        <v>24</v>
      </c>
      <c r="J47" s="2" t="s">
        <v>25</v>
      </c>
      <c r="K47" s="18" t="s">
        <v>115</v>
      </c>
      <c r="L47" s="2" t="s">
        <v>47</v>
      </c>
      <c r="M47" s="2" t="s">
        <v>24</v>
      </c>
      <c r="N47" s="2" t="s">
        <v>60</v>
      </c>
      <c r="O47" s="2" t="s">
        <v>33</v>
      </c>
    </row>
    <row r="48" spans="1:15" ht="21">
      <c r="A48" s="2">
        <v>4</v>
      </c>
      <c r="B48" s="2">
        <v>38886420</v>
      </c>
      <c r="C48" s="2">
        <v>38884799</v>
      </c>
      <c r="D48" s="2" t="s">
        <v>122</v>
      </c>
      <c r="E48" s="2" t="s">
        <v>21</v>
      </c>
      <c r="F48" s="2" t="s">
        <v>30</v>
      </c>
      <c r="G48" s="2" t="s">
        <v>30</v>
      </c>
      <c r="H48" s="2" t="s">
        <v>24</v>
      </c>
      <c r="I48" s="2" t="s">
        <v>24</v>
      </c>
      <c r="J48" s="2" t="s">
        <v>25</v>
      </c>
      <c r="K48" s="18" t="s">
        <v>115</v>
      </c>
      <c r="L48" s="2" t="s">
        <v>47</v>
      </c>
      <c r="M48" s="2" t="s">
        <v>24</v>
      </c>
      <c r="N48" s="2" t="s">
        <v>39</v>
      </c>
      <c r="O48" s="2"/>
    </row>
    <row r="49" spans="1:15" ht="21">
      <c r="A49" s="2">
        <v>4</v>
      </c>
      <c r="B49" s="2">
        <v>38892649</v>
      </c>
      <c r="C49" s="2">
        <v>38891028</v>
      </c>
      <c r="D49" s="2" t="s">
        <v>123</v>
      </c>
      <c r="E49" s="2" t="s">
        <v>23</v>
      </c>
      <c r="F49" s="2" t="s">
        <v>43</v>
      </c>
      <c r="G49" s="2" t="s">
        <v>43</v>
      </c>
      <c r="H49" s="2" t="s">
        <v>24</v>
      </c>
      <c r="I49" s="2" t="s">
        <v>24</v>
      </c>
      <c r="J49" s="2" t="s">
        <v>25</v>
      </c>
      <c r="K49" s="18" t="s">
        <v>115</v>
      </c>
      <c r="L49" s="2" t="s">
        <v>47</v>
      </c>
      <c r="M49" s="2" t="s">
        <v>24</v>
      </c>
      <c r="N49" s="2" t="s">
        <v>53</v>
      </c>
      <c r="O49" s="2"/>
    </row>
    <row r="50" spans="1:15" ht="21">
      <c r="A50" s="2">
        <v>4</v>
      </c>
      <c r="B50" s="2">
        <v>38905731</v>
      </c>
      <c r="C50" s="2">
        <v>38904110</v>
      </c>
      <c r="D50" s="2" t="s">
        <v>126</v>
      </c>
      <c r="E50" s="2" t="s">
        <v>23</v>
      </c>
      <c r="F50" s="2" t="s">
        <v>21</v>
      </c>
      <c r="G50" s="2" t="s">
        <v>21</v>
      </c>
      <c r="H50" s="2" t="s">
        <v>24</v>
      </c>
      <c r="I50" s="2" t="s">
        <v>24</v>
      </c>
      <c r="J50" s="2" t="s">
        <v>25</v>
      </c>
      <c r="K50" s="18" t="s">
        <v>115</v>
      </c>
      <c r="L50" s="2" t="s">
        <v>47</v>
      </c>
      <c r="M50" s="2" t="s">
        <v>24</v>
      </c>
      <c r="N50" s="2" t="s">
        <v>107</v>
      </c>
      <c r="O5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3285927915285"/>
  </sheetPr>
  <dimension ref="A1:F8"/>
  <sheetViews>
    <sheetView workbookViewId="0">
      <selection activeCell="N2" sqref="N2"/>
    </sheetView>
  </sheetViews>
  <sheetFormatPr baseColWidth="10" defaultRowHeight="15"/>
  <cols>
    <col min="1" max="1" width="24.6640625" customWidth="1"/>
    <col min="4" max="4" width="21.5" customWidth="1"/>
  </cols>
  <sheetData>
    <row r="1" spans="1:6" ht="16">
      <c r="A1" s="56" t="s">
        <v>15</v>
      </c>
      <c r="B1" s="56" t="s">
        <v>150</v>
      </c>
      <c r="C1" s="57"/>
      <c r="D1" s="57"/>
      <c r="E1" s="57"/>
      <c r="F1" s="57"/>
    </row>
    <row r="2" spans="1:6" ht="16">
      <c r="A2" s="58" t="s">
        <v>56</v>
      </c>
      <c r="B2" s="58">
        <v>29</v>
      </c>
      <c r="C2" s="57"/>
      <c r="D2" s="57"/>
      <c r="E2" s="57"/>
      <c r="F2" s="57"/>
    </row>
    <row r="3" spans="1:6" ht="16">
      <c r="A3" s="58" t="s">
        <v>115</v>
      </c>
      <c r="B3" s="58">
        <v>7</v>
      </c>
      <c r="C3" s="57"/>
      <c r="D3" s="59" t="s">
        <v>339</v>
      </c>
      <c r="E3" s="60">
        <f xml:space="preserve"> SUM(B2,B4,B5)</f>
        <v>38</v>
      </c>
      <c r="F3" s="57"/>
    </row>
    <row r="4" spans="1:6" ht="16">
      <c r="A4" s="58" t="s">
        <v>41</v>
      </c>
      <c r="B4" s="58">
        <v>6</v>
      </c>
      <c r="C4" s="57"/>
      <c r="D4" s="57"/>
      <c r="E4" s="57"/>
      <c r="F4" s="57"/>
    </row>
    <row r="5" spans="1:6" ht="16">
      <c r="A5" s="58" t="s">
        <v>98</v>
      </c>
      <c r="B5" s="58">
        <v>3</v>
      </c>
      <c r="C5" s="57"/>
      <c r="D5" s="57"/>
      <c r="E5" s="57"/>
      <c r="F5" s="57"/>
    </row>
    <row r="6" spans="1:6" ht="16">
      <c r="A6" s="58" t="s">
        <v>26</v>
      </c>
      <c r="B6" s="58">
        <v>2</v>
      </c>
      <c r="C6" s="57"/>
      <c r="D6" s="57"/>
      <c r="E6" s="57"/>
      <c r="F6" s="57"/>
    </row>
    <row r="7" spans="1:6" ht="16">
      <c r="A7" s="58" t="s">
        <v>151</v>
      </c>
      <c r="B7" s="58">
        <v>2</v>
      </c>
      <c r="C7" s="57"/>
      <c r="D7" s="57"/>
      <c r="E7" s="57"/>
      <c r="F7" s="57"/>
    </row>
    <row r="8" spans="1:6" ht="16">
      <c r="A8" s="57"/>
      <c r="B8" s="57"/>
      <c r="C8" s="57"/>
      <c r="D8" s="57"/>
      <c r="E8" s="57"/>
      <c r="F8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3285927915285"/>
  </sheetPr>
  <dimension ref="A1:B8"/>
  <sheetViews>
    <sheetView workbookViewId="0">
      <selection activeCell="C10" sqref="C10"/>
    </sheetView>
  </sheetViews>
  <sheetFormatPr baseColWidth="10" defaultColWidth="8.83203125" defaultRowHeight="15"/>
  <cols>
    <col min="1" max="1" width="46.83203125" customWidth="1"/>
    <col min="2" max="2" width="16.6640625" customWidth="1"/>
  </cols>
  <sheetData>
    <row r="1" spans="1:2">
      <c r="A1" s="49" t="s">
        <v>16</v>
      </c>
      <c r="B1" s="49" t="s">
        <v>150</v>
      </c>
    </row>
    <row r="2" spans="1:2">
      <c r="A2" s="16" t="s">
        <v>47</v>
      </c>
      <c r="B2" s="16">
        <v>28</v>
      </c>
    </row>
    <row r="3" spans="1:2">
      <c r="A3" s="16" t="s">
        <v>32</v>
      </c>
      <c r="B3" s="16">
        <v>12</v>
      </c>
    </row>
    <row r="4" spans="1:2">
      <c r="A4" s="16" t="s">
        <v>27</v>
      </c>
      <c r="B4" s="16">
        <v>3</v>
      </c>
    </row>
    <row r="5" spans="1:2">
      <c r="A5" s="16" t="s">
        <v>37</v>
      </c>
      <c r="B5" s="16">
        <v>2</v>
      </c>
    </row>
    <row r="6" spans="1:2">
      <c r="A6" s="16" t="s">
        <v>45</v>
      </c>
      <c r="B6" s="16">
        <v>2</v>
      </c>
    </row>
    <row r="7" spans="1:2">
      <c r="A7" s="16" t="s">
        <v>57</v>
      </c>
      <c r="B7" s="16">
        <v>1</v>
      </c>
    </row>
    <row r="8" spans="1:2">
      <c r="A8" s="16" t="s">
        <v>72</v>
      </c>
      <c r="B8" s="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A1:B11"/>
  <sheetViews>
    <sheetView workbookViewId="0">
      <selection activeCell="B1" sqref="B1"/>
    </sheetView>
  </sheetViews>
  <sheetFormatPr baseColWidth="10" defaultRowHeight="15"/>
  <cols>
    <col min="1" max="1" width="23.33203125" customWidth="1"/>
  </cols>
  <sheetData>
    <row r="1" spans="1:2">
      <c r="A1" s="49" t="s">
        <v>148</v>
      </c>
      <c r="B1" s="49" t="s">
        <v>150</v>
      </c>
    </row>
    <row r="2" spans="1:2">
      <c r="A2" s="16" t="s">
        <v>39</v>
      </c>
      <c r="B2" s="16">
        <v>12</v>
      </c>
    </row>
    <row r="3" spans="1:2">
      <c r="A3" s="16" t="s">
        <v>60</v>
      </c>
      <c r="B3" s="16">
        <v>10</v>
      </c>
    </row>
    <row r="4" spans="1:2">
      <c r="A4" s="16" t="s">
        <v>49</v>
      </c>
      <c r="B4" s="16">
        <v>8</v>
      </c>
    </row>
    <row r="5" spans="1:2">
      <c r="A5" s="16" t="s">
        <v>53</v>
      </c>
      <c r="B5" s="16">
        <v>8</v>
      </c>
    </row>
    <row r="6" spans="1:2">
      <c r="A6" s="16" t="s">
        <v>149</v>
      </c>
      <c r="B6" s="16">
        <v>3</v>
      </c>
    </row>
    <row r="7" spans="1:2">
      <c r="A7" s="16" t="s">
        <v>101</v>
      </c>
      <c r="B7" s="16">
        <v>2</v>
      </c>
    </row>
    <row r="8" spans="1:2">
      <c r="A8" s="16" t="s">
        <v>91</v>
      </c>
      <c r="B8" s="16">
        <v>2</v>
      </c>
    </row>
    <row r="9" spans="1:2">
      <c r="A9" s="16" t="s">
        <v>93</v>
      </c>
      <c r="B9" s="16">
        <v>2</v>
      </c>
    </row>
    <row r="10" spans="1:2">
      <c r="A10" s="16" t="s">
        <v>85</v>
      </c>
      <c r="B10" s="16">
        <v>1</v>
      </c>
    </row>
    <row r="11" spans="1:2">
      <c r="A11" s="16" t="s">
        <v>107</v>
      </c>
      <c r="B11" s="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J60"/>
  <sheetViews>
    <sheetView topLeftCell="B15" zoomScale="25" workbookViewId="0">
      <selection activeCell="H15" sqref="H15"/>
    </sheetView>
  </sheetViews>
  <sheetFormatPr baseColWidth="10" defaultRowHeight="15"/>
  <cols>
    <col min="1" max="1" width="11" style="19" customWidth="1"/>
    <col min="2" max="2" width="12.1640625" style="19" customWidth="1"/>
    <col min="3" max="3" width="33.83203125" style="19" customWidth="1"/>
    <col min="4" max="4" width="29.6640625" style="19" customWidth="1"/>
    <col min="5" max="6" width="60.1640625" style="19" customWidth="1"/>
    <col min="7" max="7" width="41.1640625" style="19" customWidth="1"/>
    <col min="8" max="8" width="26.83203125" style="19" customWidth="1"/>
    <col min="9" max="9" width="41.5" style="19" customWidth="1"/>
    <col min="10" max="10" width="38.33203125" style="19" customWidth="1"/>
    <col min="11" max="11" width="24.83203125" style="19" customWidth="1"/>
    <col min="12" max="12" width="27.33203125" style="19" customWidth="1"/>
    <col min="13" max="13" width="51" style="19" customWidth="1"/>
    <col min="14" max="14" width="39.1640625" style="19" customWidth="1"/>
    <col min="15" max="15" width="55.6640625" style="19" customWidth="1"/>
    <col min="16" max="16" width="37.6640625" style="19" customWidth="1"/>
    <col min="17" max="17" width="23.33203125" style="19" customWidth="1"/>
    <col min="18" max="18" width="30.5" style="19" customWidth="1"/>
    <col min="19" max="23" width="27.1640625" style="19" customWidth="1"/>
    <col min="24" max="24" width="27" style="19" customWidth="1"/>
    <col min="25" max="25" width="65.6640625" style="19" customWidth="1"/>
    <col min="26" max="26" width="24.6640625" style="19" customWidth="1"/>
    <col min="27" max="27" width="79.6640625" style="19" customWidth="1"/>
    <col min="28" max="28" width="29.33203125" style="19" customWidth="1"/>
    <col min="29" max="29" width="46.6640625" style="19" customWidth="1"/>
    <col min="30" max="33" width="28" style="19" customWidth="1"/>
    <col min="34" max="34" width="62.83203125" style="19" customWidth="1"/>
    <col min="35" max="35" width="18" style="19" customWidth="1"/>
    <col min="36" max="36" width="80" style="46" customWidth="1"/>
    <col min="37" max="16384" width="10.83203125" style="19"/>
  </cols>
  <sheetData>
    <row r="1" spans="1:36" ht="44">
      <c r="A1" s="50" t="s">
        <v>0</v>
      </c>
      <c r="B1" s="50" t="s">
        <v>1</v>
      </c>
      <c r="C1" s="50" t="s">
        <v>2</v>
      </c>
      <c r="D1" s="50" t="s">
        <v>15</v>
      </c>
      <c r="E1" s="50" t="s">
        <v>16</v>
      </c>
      <c r="F1" s="50" t="s">
        <v>152</v>
      </c>
      <c r="G1" s="50" t="s">
        <v>3</v>
      </c>
      <c r="H1" s="50" t="s">
        <v>6</v>
      </c>
      <c r="I1" s="50" t="s">
        <v>148</v>
      </c>
      <c r="J1" s="50" t="s">
        <v>153</v>
      </c>
      <c r="K1" s="50" t="s">
        <v>154</v>
      </c>
      <c r="L1" s="50" t="s">
        <v>155</v>
      </c>
      <c r="M1" s="50" t="s">
        <v>156</v>
      </c>
      <c r="N1" s="50" t="s">
        <v>157</v>
      </c>
      <c r="O1" s="50" t="s">
        <v>158</v>
      </c>
      <c r="P1" s="50" t="s">
        <v>159</v>
      </c>
      <c r="Q1" s="50" t="s">
        <v>160</v>
      </c>
      <c r="R1" s="50" t="s">
        <v>161</v>
      </c>
      <c r="S1" s="50" t="s">
        <v>162</v>
      </c>
      <c r="T1" s="50" t="s">
        <v>163</v>
      </c>
      <c r="U1" s="50" t="s">
        <v>164</v>
      </c>
      <c r="V1" s="50" t="s">
        <v>165</v>
      </c>
      <c r="W1" s="50" t="s">
        <v>166</v>
      </c>
      <c r="X1" s="50" t="s">
        <v>167</v>
      </c>
      <c r="Y1" s="50" t="s">
        <v>168</v>
      </c>
      <c r="Z1" s="50" t="s">
        <v>169</v>
      </c>
      <c r="AA1" s="50" t="s">
        <v>170</v>
      </c>
      <c r="AB1" s="50" t="s">
        <v>171</v>
      </c>
      <c r="AC1" s="50" t="s">
        <v>172</v>
      </c>
      <c r="AD1" s="50" t="s">
        <v>173</v>
      </c>
      <c r="AE1" s="51" t="s">
        <v>174</v>
      </c>
      <c r="AF1" s="51" t="s">
        <v>175</v>
      </c>
      <c r="AG1" s="50" t="s">
        <v>176</v>
      </c>
      <c r="AH1" s="51" t="s">
        <v>177</v>
      </c>
      <c r="AI1" s="50" t="s">
        <v>178</v>
      </c>
      <c r="AJ1" s="55" t="s">
        <v>179</v>
      </c>
    </row>
    <row r="2" spans="1:36" ht="32">
      <c r="A2" s="33">
        <v>4</v>
      </c>
      <c r="B2" s="33">
        <v>38760338</v>
      </c>
      <c r="C2" s="34" t="s">
        <v>20</v>
      </c>
      <c r="D2" s="34" t="s">
        <v>26</v>
      </c>
      <c r="E2" s="33" t="s">
        <v>27</v>
      </c>
      <c r="F2" s="33" t="s">
        <v>180</v>
      </c>
      <c r="G2" s="33" t="s">
        <v>21</v>
      </c>
      <c r="H2" s="33" t="s">
        <v>23</v>
      </c>
      <c r="I2" s="33" t="s">
        <v>149</v>
      </c>
      <c r="J2" s="35" t="s">
        <v>97</v>
      </c>
      <c r="K2" s="35" t="s">
        <v>181</v>
      </c>
      <c r="L2" s="35" t="s">
        <v>182</v>
      </c>
      <c r="M2" s="35" t="s">
        <v>182</v>
      </c>
      <c r="N2" s="36" t="s">
        <v>97</v>
      </c>
      <c r="O2" s="36" t="s">
        <v>183</v>
      </c>
      <c r="P2" s="36" t="s">
        <v>183</v>
      </c>
      <c r="Q2" s="36" t="s">
        <v>183</v>
      </c>
      <c r="R2" s="37">
        <v>5</v>
      </c>
      <c r="S2" s="37">
        <v>0.13453999999999999</v>
      </c>
      <c r="T2" s="37">
        <v>1</v>
      </c>
      <c r="U2" s="37" t="s">
        <v>183</v>
      </c>
      <c r="V2" s="37" t="s">
        <v>183</v>
      </c>
      <c r="W2" s="37" t="s">
        <v>183</v>
      </c>
      <c r="X2" s="37" t="s">
        <v>183</v>
      </c>
      <c r="Y2" s="37" t="s">
        <v>183</v>
      </c>
      <c r="Z2" s="37" t="s">
        <v>183</v>
      </c>
      <c r="AA2" s="37" t="s">
        <v>184</v>
      </c>
      <c r="AB2" s="33" t="s">
        <v>97</v>
      </c>
      <c r="AC2" s="33" t="s">
        <v>184</v>
      </c>
      <c r="AD2" s="33" t="s">
        <v>184</v>
      </c>
      <c r="AE2" s="33" t="s">
        <v>184</v>
      </c>
      <c r="AF2" s="33" t="s">
        <v>184</v>
      </c>
      <c r="AG2" s="33" t="s">
        <v>184</v>
      </c>
      <c r="AH2" s="33" t="s">
        <v>184</v>
      </c>
      <c r="AI2" s="33" t="s">
        <v>303</v>
      </c>
      <c r="AJ2" s="31" t="s">
        <v>305</v>
      </c>
    </row>
    <row r="3" spans="1:36" ht="32">
      <c r="A3" s="33">
        <v>4</v>
      </c>
      <c r="B3" s="33">
        <v>38765046</v>
      </c>
      <c r="C3" s="34" t="s">
        <v>29</v>
      </c>
      <c r="D3" s="34" t="s">
        <v>26</v>
      </c>
      <c r="E3" s="33" t="s">
        <v>32</v>
      </c>
      <c r="F3" s="33" t="s">
        <v>180</v>
      </c>
      <c r="G3" s="33" t="s">
        <v>30</v>
      </c>
      <c r="H3" s="33" t="s">
        <v>21</v>
      </c>
      <c r="I3" s="33" t="s">
        <v>60</v>
      </c>
      <c r="J3" s="35" t="s">
        <v>97</v>
      </c>
      <c r="K3" s="35" t="s">
        <v>181</v>
      </c>
      <c r="L3" s="35" t="s">
        <v>182</v>
      </c>
      <c r="M3" s="35" t="s">
        <v>182</v>
      </c>
      <c r="N3" s="36" t="s">
        <v>97</v>
      </c>
      <c r="O3" s="36" t="s">
        <v>183</v>
      </c>
      <c r="P3" s="36" t="s">
        <v>183</v>
      </c>
      <c r="Q3" s="36" t="s">
        <v>183</v>
      </c>
      <c r="R3" s="37">
        <v>5</v>
      </c>
      <c r="S3" s="37">
        <v>0.58955000000000002</v>
      </c>
      <c r="T3" s="37">
        <v>2</v>
      </c>
      <c r="U3" s="37" t="s">
        <v>183</v>
      </c>
      <c r="V3" s="37" t="s">
        <v>183</v>
      </c>
      <c r="W3" s="37" t="s">
        <v>183</v>
      </c>
      <c r="X3" s="37" t="s">
        <v>183</v>
      </c>
      <c r="Y3" s="37" t="s">
        <v>183</v>
      </c>
      <c r="Z3" s="37" t="s">
        <v>183</v>
      </c>
      <c r="AA3" s="37" t="s">
        <v>184</v>
      </c>
      <c r="AB3" s="33" t="s">
        <v>97</v>
      </c>
      <c r="AC3" s="33" t="s">
        <v>184</v>
      </c>
      <c r="AD3" s="33" t="s">
        <v>184</v>
      </c>
      <c r="AE3" s="33" t="s">
        <v>184</v>
      </c>
      <c r="AF3" s="33" t="s">
        <v>184</v>
      </c>
      <c r="AG3" s="33" t="s">
        <v>184</v>
      </c>
      <c r="AH3" s="33" t="s">
        <v>184</v>
      </c>
      <c r="AI3" s="33" t="s">
        <v>303</v>
      </c>
      <c r="AJ3" s="31" t="s">
        <v>305</v>
      </c>
    </row>
    <row r="4" spans="1:36" ht="32">
      <c r="A4" s="33">
        <v>4</v>
      </c>
      <c r="B4" s="33">
        <v>38766285</v>
      </c>
      <c r="C4" s="33" t="s">
        <v>34</v>
      </c>
      <c r="D4" s="33"/>
      <c r="E4" s="33" t="s">
        <v>37</v>
      </c>
      <c r="F4" s="33" t="s">
        <v>185</v>
      </c>
      <c r="G4" s="33" t="s">
        <v>21</v>
      </c>
      <c r="H4" s="33" t="s">
        <v>30</v>
      </c>
      <c r="I4" s="33" t="s">
        <v>39</v>
      </c>
      <c r="J4" s="35" t="s">
        <v>97</v>
      </c>
      <c r="K4" s="35" t="s">
        <v>181</v>
      </c>
      <c r="L4" s="35" t="s">
        <v>182</v>
      </c>
      <c r="M4" s="35" t="s">
        <v>182</v>
      </c>
      <c r="N4" s="36" t="s">
        <v>97</v>
      </c>
      <c r="O4" s="36" t="s">
        <v>183</v>
      </c>
      <c r="P4" s="36" t="s">
        <v>183</v>
      </c>
      <c r="Q4" s="36" t="s">
        <v>183</v>
      </c>
      <c r="R4" s="37">
        <v>5</v>
      </c>
      <c r="S4" s="37">
        <v>0.13453999999999999</v>
      </c>
      <c r="T4" s="37">
        <v>2</v>
      </c>
      <c r="U4" s="37" t="s">
        <v>183</v>
      </c>
      <c r="V4" s="37" t="s">
        <v>183</v>
      </c>
      <c r="W4" s="37" t="s">
        <v>183</v>
      </c>
      <c r="X4" s="37" t="s">
        <v>183</v>
      </c>
      <c r="Y4" s="37" t="s">
        <v>183</v>
      </c>
      <c r="Z4" s="37" t="s">
        <v>183</v>
      </c>
      <c r="AA4" s="37" t="s">
        <v>184</v>
      </c>
      <c r="AB4" s="33" t="s">
        <v>97</v>
      </c>
      <c r="AC4" s="33" t="s">
        <v>184</v>
      </c>
      <c r="AD4" s="33" t="s">
        <v>184</v>
      </c>
      <c r="AE4" s="33" t="s">
        <v>184</v>
      </c>
      <c r="AF4" s="33" t="s">
        <v>184</v>
      </c>
      <c r="AG4" s="33" t="s">
        <v>184</v>
      </c>
      <c r="AH4" s="33" t="s">
        <v>184</v>
      </c>
      <c r="AI4" s="33" t="s">
        <v>303</v>
      </c>
      <c r="AJ4" s="31" t="s">
        <v>305</v>
      </c>
    </row>
    <row r="5" spans="1:36" ht="32">
      <c r="A5" s="33">
        <v>4</v>
      </c>
      <c r="B5" s="33">
        <v>38767749</v>
      </c>
      <c r="C5" s="33" t="s">
        <v>38</v>
      </c>
      <c r="D5" s="33"/>
      <c r="E5" s="33" t="s">
        <v>37</v>
      </c>
      <c r="F5" s="33" t="s">
        <v>185</v>
      </c>
      <c r="G5" s="33" t="s">
        <v>21</v>
      </c>
      <c r="H5" s="33" t="s">
        <v>30</v>
      </c>
      <c r="I5" s="33" t="s">
        <v>39</v>
      </c>
      <c r="J5" s="35" t="s">
        <v>97</v>
      </c>
      <c r="K5" s="35" t="s">
        <v>181</v>
      </c>
      <c r="L5" s="35" t="s">
        <v>182</v>
      </c>
      <c r="M5" s="35" t="s">
        <v>182</v>
      </c>
      <c r="N5" s="36" t="s">
        <v>97</v>
      </c>
      <c r="O5" s="36" t="s">
        <v>183</v>
      </c>
      <c r="P5" s="36" t="s">
        <v>183</v>
      </c>
      <c r="Q5" s="36" t="s">
        <v>183</v>
      </c>
      <c r="R5" s="37">
        <v>5</v>
      </c>
      <c r="S5" s="37">
        <v>0.13453999999999999</v>
      </c>
      <c r="T5" s="37">
        <v>2</v>
      </c>
      <c r="U5" s="37" t="s">
        <v>183</v>
      </c>
      <c r="V5" s="37" t="s">
        <v>183</v>
      </c>
      <c r="W5" s="37" t="s">
        <v>183</v>
      </c>
      <c r="X5" s="37" t="s">
        <v>183</v>
      </c>
      <c r="Y5" s="37" t="s">
        <v>183</v>
      </c>
      <c r="Z5" s="37" t="s">
        <v>183</v>
      </c>
      <c r="AA5" s="37" t="s">
        <v>184</v>
      </c>
      <c r="AB5" s="33" t="s">
        <v>97</v>
      </c>
      <c r="AC5" s="33" t="s">
        <v>184</v>
      </c>
      <c r="AD5" s="33" t="s">
        <v>184</v>
      </c>
      <c r="AE5" s="33" t="s">
        <v>184</v>
      </c>
      <c r="AF5" s="33" t="s">
        <v>184</v>
      </c>
      <c r="AG5" s="33" t="s">
        <v>184</v>
      </c>
      <c r="AH5" s="33" t="s">
        <v>184</v>
      </c>
      <c r="AI5" s="33" t="s">
        <v>303</v>
      </c>
      <c r="AJ5" s="31" t="s">
        <v>305</v>
      </c>
    </row>
    <row r="6" spans="1:36" ht="48">
      <c r="A6" s="33">
        <v>4</v>
      </c>
      <c r="B6" s="33">
        <v>38769018</v>
      </c>
      <c r="C6" s="38" t="s">
        <v>40</v>
      </c>
      <c r="D6" s="38" t="s">
        <v>41</v>
      </c>
      <c r="E6" s="33" t="s">
        <v>27</v>
      </c>
      <c r="F6" s="33" t="s">
        <v>180</v>
      </c>
      <c r="G6" s="33" t="s">
        <v>30</v>
      </c>
      <c r="H6" s="33" t="s">
        <v>21</v>
      </c>
      <c r="I6" s="33" t="s">
        <v>60</v>
      </c>
      <c r="J6" s="35" t="s">
        <v>97</v>
      </c>
      <c r="K6" s="35" t="s">
        <v>181</v>
      </c>
      <c r="L6" s="35" t="s">
        <v>182</v>
      </c>
      <c r="M6" s="35" t="s">
        <v>182</v>
      </c>
      <c r="N6" s="36" t="s">
        <v>97</v>
      </c>
      <c r="O6" s="36" t="s">
        <v>183</v>
      </c>
      <c r="P6" s="36" t="s">
        <v>183</v>
      </c>
      <c r="Q6" s="36" t="s">
        <v>183</v>
      </c>
      <c r="R6" s="37" t="s">
        <v>186</v>
      </c>
      <c r="S6" s="37">
        <v>0.70694999999999997</v>
      </c>
      <c r="T6" s="37">
        <v>5</v>
      </c>
      <c r="U6" s="37" t="s">
        <v>187</v>
      </c>
      <c r="V6" s="37" t="s">
        <v>183</v>
      </c>
      <c r="W6" s="37" t="s">
        <v>183</v>
      </c>
      <c r="X6" s="37" t="s">
        <v>188</v>
      </c>
      <c r="Y6" s="37" t="s">
        <v>189</v>
      </c>
      <c r="Z6" s="37" t="s">
        <v>24</v>
      </c>
      <c r="AA6" s="37" t="s">
        <v>190</v>
      </c>
      <c r="AB6" s="33" t="s">
        <v>97</v>
      </c>
      <c r="AC6" s="33" t="s">
        <v>184</v>
      </c>
      <c r="AD6" s="33" t="s">
        <v>184</v>
      </c>
      <c r="AE6" s="33" t="s">
        <v>184</v>
      </c>
      <c r="AF6" s="33" t="s">
        <v>184</v>
      </c>
      <c r="AG6" s="33" t="s">
        <v>184</v>
      </c>
      <c r="AH6" s="33" t="s">
        <v>184</v>
      </c>
      <c r="AI6" s="33" t="s">
        <v>302</v>
      </c>
      <c r="AJ6" s="31" t="s">
        <v>306</v>
      </c>
    </row>
    <row r="7" spans="1:36" ht="88">
      <c r="A7" s="33">
        <v>4</v>
      </c>
      <c r="B7" s="33">
        <v>38777471</v>
      </c>
      <c r="C7" s="38" t="s">
        <v>42</v>
      </c>
      <c r="D7" s="38" t="s">
        <v>41</v>
      </c>
      <c r="E7" s="33" t="s">
        <v>45</v>
      </c>
      <c r="F7" s="33" t="s">
        <v>191</v>
      </c>
      <c r="G7" s="33" t="s">
        <v>43</v>
      </c>
      <c r="H7" s="33" t="s">
        <v>23</v>
      </c>
      <c r="I7" s="33" t="s">
        <v>49</v>
      </c>
      <c r="J7" s="35" t="s">
        <v>24</v>
      </c>
      <c r="K7" s="35" t="s">
        <v>41</v>
      </c>
      <c r="L7" s="39">
        <v>3.1999999999999999E-15</v>
      </c>
      <c r="M7" s="35" t="s">
        <v>192</v>
      </c>
      <c r="N7" s="36" t="s">
        <v>24</v>
      </c>
      <c r="O7" s="36" t="s">
        <v>193</v>
      </c>
      <c r="P7" s="36" t="s">
        <v>194</v>
      </c>
      <c r="Q7" s="36" t="s">
        <v>195</v>
      </c>
      <c r="R7" s="37">
        <v>7</v>
      </c>
      <c r="S7" s="37">
        <v>0.51392000000000004</v>
      </c>
      <c r="T7" s="37">
        <v>4</v>
      </c>
      <c r="U7" s="37" t="s">
        <v>196</v>
      </c>
      <c r="V7" s="37" t="s">
        <v>197</v>
      </c>
      <c r="W7" s="37" t="s">
        <v>198</v>
      </c>
      <c r="X7" s="37" t="s">
        <v>188</v>
      </c>
      <c r="Y7" s="37" t="s">
        <v>199</v>
      </c>
      <c r="Z7" s="37" t="s">
        <v>97</v>
      </c>
      <c r="AA7" s="37" t="s">
        <v>184</v>
      </c>
      <c r="AB7" s="33" t="s">
        <v>97</v>
      </c>
      <c r="AC7" s="33" t="s">
        <v>184</v>
      </c>
      <c r="AD7" s="33" t="s">
        <v>184</v>
      </c>
      <c r="AE7" s="33" t="s">
        <v>184</v>
      </c>
      <c r="AF7" s="33" t="s">
        <v>184</v>
      </c>
      <c r="AG7" s="33" t="s">
        <v>184</v>
      </c>
      <c r="AH7" s="33" t="s">
        <v>184</v>
      </c>
      <c r="AI7" s="33" t="s">
        <v>299</v>
      </c>
      <c r="AJ7" s="31" t="s">
        <v>307</v>
      </c>
    </row>
    <row r="8" spans="1:36" ht="88">
      <c r="A8" s="33">
        <v>4</v>
      </c>
      <c r="B8" s="33">
        <v>38778903</v>
      </c>
      <c r="C8" s="38" t="s">
        <v>46</v>
      </c>
      <c r="D8" s="38" t="s">
        <v>41</v>
      </c>
      <c r="E8" s="33" t="s">
        <v>47</v>
      </c>
      <c r="F8" s="33" t="s">
        <v>200</v>
      </c>
      <c r="G8" s="33" t="s">
        <v>21</v>
      </c>
      <c r="H8" s="33" t="s">
        <v>30</v>
      </c>
      <c r="I8" s="33" t="s">
        <v>39</v>
      </c>
      <c r="J8" s="35" t="s">
        <v>24</v>
      </c>
      <c r="K8" s="35" t="s">
        <v>41</v>
      </c>
      <c r="L8" s="39">
        <v>3.1999999999999999E-15</v>
      </c>
      <c r="M8" s="35" t="s">
        <v>192</v>
      </c>
      <c r="N8" s="36" t="s">
        <v>24</v>
      </c>
      <c r="O8" s="36" t="s">
        <v>193</v>
      </c>
      <c r="P8" s="36" t="s">
        <v>194</v>
      </c>
      <c r="Q8" s="36" t="s">
        <v>195</v>
      </c>
      <c r="R8" s="37">
        <v>6</v>
      </c>
      <c r="S8" s="37">
        <v>0.28661999999999999</v>
      </c>
      <c r="T8" s="37">
        <v>7</v>
      </c>
      <c r="U8" s="37" t="s">
        <v>196</v>
      </c>
      <c r="V8" s="37" t="s">
        <v>197</v>
      </c>
      <c r="W8" s="37" t="s">
        <v>198</v>
      </c>
      <c r="X8" s="37" t="s">
        <v>188</v>
      </c>
      <c r="Y8" s="37" t="s">
        <v>201</v>
      </c>
      <c r="Z8" s="37" t="s">
        <v>97</v>
      </c>
      <c r="AA8" s="37" t="s">
        <v>184</v>
      </c>
      <c r="AB8" s="33" t="s">
        <v>97</v>
      </c>
      <c r="AC8" s="33" t="s">
        <v>184</v>
      </c>
      <c r="AD8" s="33" t="s">
        <v>184</v>
      </c>
      <c r="AE8" s="33" t="s">
        <v>184</v>
      </c>
      <c r="AF8" s="33" t="s">
        <v>184</v>
      </c>
      <c r="AG8" s="33" t="s">
        <v>184</v>
      </c>
      <c r="AH8" s="33" t="s">
        <v>184</v>
      </c>
      <c r="AI8" s="33" t="s">
        <v>299</v>
      </c>
      <c r="AJ8" s="31" t="s">
        <v>308</v>
      </c>
    </row>
    <row r="9" spans="1:36" ht="26.75" customHeight="1">
      <c r="A9" s="33">
        <v>4</v>
      </c>
      <c r="B9" s="33">
        <v>38779512</v>
      </c>
      <c r="C9" s="38" t="s">
        <v>48</v>
      </c>
      <c r="D9" s="38" t="s">
        <v>41</v>
      </c>
      <c r="E9" s="33" t="s">
        <v>47</v>
      </c>
      <c r="F9" s="33" t="s">
        <v>200</v>
      </c>
      <c r="G9" s="33" t="s">
        <v>43</v>
      </c>
      <c r="H9" s="33" t="s">
        <v>23</v>
      </c>
      <c r="I9" s="33" t="s">
        <v>49</v>
      </c>
      <c r="J9" s="35" t="s">
        <v>97</v>
      </c>
      <c r="K9" s="35"/>
      <c r="L9" s="35"/>
      <c r="M9" s="35" t="s">
        <v>182</v>
      </c>
      <c r="N9" s="36" t="s">
        <v>97</v>
      </c>
      <c r="O9" s="36" t="s">
        <v>183</v>
      </c>
      <c r="P9" s="36" t="s">
        <v>183</v>
      </c>
      <c r="Q9" s="36" t="s">
        <v>183</v>
      </c>
      <c r="R9" s="37">
        <v>7</v>
      </c>
      <c r="S9" s="37">
        <v>0.18412000000000001</v>
      </c>
      <c r="T9" s="37">
        <v>0</v>
      </c>
      <c r="U9" s="37" t="s">
        <v>183</v>
      </c>
      <c r="V9" s="37" t="s">
        <v>183</v>
      </c>
      <c r="W9" s="37" t="s">
        <v>183</v>
      </c>
      <c r="X9" s="37" t="s">
        <v>183</v>
      </c>
      <c r="Y9" s="37" t="s">
        <v>183</v>
      </c>
      <c r="Z9" s="37" t="s">
        <v>183</v>
      </c>
      <c r="AA9" s="37" t="s">
        <v>184</v>
      </c>
      <c r="AB9" s="33" t="s">
        <v>97</v>
      </c>
      <c r="AC9" s="33" t="s">
        <v>184</v>
      </c>
      <c r="AD9" s="33" t="s">
        <v>184</v>
      </c>
      <c r="AE9" s="33" t="s">
        <v>184</v>
      </c>
      <c r="AF9" s="33" t="s">
        <v>184</v>
      </c>
      <c r="AG9" s="33" t="s">
        <v>184</v>
      </c>
      <c r="AH9" s="33" t="s">
        <v>184</v>
      </c>
      <c r="AI9" s="33" t="s">
        <v>303</v>
      </c>
      <c r="AJ9" s="31" t="s">
        <v>305</v>
      </c>
    </row>
    <row r="10" spans="1:36" ht="88">
      <c r="A10" s="33">
        <v>4</v>
      </c>
      <c r="B10" s="33">
        <v>38780471</v>
      </c>
      <c r="C10" s="38" t="s">
        <v>50</v>
      </c>
      <c r="D10" s="38" t="s">
        <v>41</v>
      </c>
      <c r="E10" s="33" t="s">
        <v>47</v>
      </c>
      <c r="F10" s="33" t="s">
        <v>200</v>
      </c>
      <c r="G10" s="33" t="s">
        <v>23</v>
      </c>
      <c r="H10" s="33" t="s">
        <v>43</v>
      </c>
      <c r="I10" s="33" t="s">
        <v>53</v>
      </c>
      <c r="J10" s="35" t="s">
        <v>24</v>
      </c>
      <c r="K10" s="35" t="s">
        <v>41</v>
      </c>
      <c r="L10" s="39">
        <v>3.1999999999999999E-15</v>
      </c>
      <c r="M10" s="35" t="s">
        <v>192</v>
      </c>
      <c r="N10" s="36" t="s">
        <v>24</v>
      </c>
      <c r="O10" s="36" t="s">
        <v>193</v>
      </c>
      <c r="P10" s="36" t="s">
        <v>194</v>
      </c>
      <c r="Q10" s="36" t="s">
        <v>195</v>
      </c>
      <c r="R10" s="37" t="s">
        <v>202</v>
      </c>
      <c r="S10" s="37">
        <v>0.55435999999999996</v>
      </c>
      <c r="T10" s="37">
        <v>24</v>
      </c>
      <c r="U10" s="37" t="s">
        <v>196</v>
      </c>
      <c r="V10" s="37" t="s">
        <v>197</v>
      </c>
      <c r="W10" s="37" t="s">
        <v>203</v>
      </c>
      <c r="X10" s="37" t="s">
        <v>188</v>
      </c>
      <c r="Y10" s="37" t="s">
        <v>204</v>
      </c>
      <c r="Z10" s="37" t="s">
        <v>24</v>
      </c>
      <c r="AA10" s="37" t="s">
        <v>205</v>
      </c>
      <c r="AB10" s="33" t="s">
        <v>24</v>
      </c>
      <c r="AC10" s="31" t="s">
        <v>206</v>
      </c>
      <c r="AD10" s="67" t="s">
        <v>342</v>
      </c>
      <c r="AE10" s="31" t="s">
        <v>208</v>
      </c>
      <c r="AF10" s="31" t="s">
        <v>209</v>
      </c>
      <c r="AG10" s="31" t="s">
        <v>210</v>
      </c>
      <c r="AH10" s="31" t="s">
        <v>211</v>
      </c>
      <c r="AI10" s="33" t="s">
        <v>299</v>
      </c>
      <c r="AJ10" s="31" t="s">
        <v>309</v>
      </c>
    </row>
    <row r="11" spans="1:36" ht="96">
      <c r="A11" s="33">
        <v>4</v>
      </c>
      <c r="B11" s="33">
        <v>38783848</v>
      </c>
      <c r="C11" s="38" t="s">
        <v>52</v>
      </c>
      <c r="D11" s="38" t="s">
        <v>41</v>
      </c>
      <c r="E11" s="33" t="s">
        <v>47</v>
      </c>
      <c r="F11" s="33" t="s">
        <v>200</v>
      </c>
      <c r="G11" s="33" t="s">
        <v>23</v>
      </c>
      <c r="H11" s="33" t="s">
        <v>43</v>
      </c>
      <c r="I11" s="33" t="s">
        <v>53</v>
      </c>
      <c r="J11" s="35" t="s">
        <v>97</v>
      </c>
      <c r="K11" s="35"/>
      <c r="L11" s="35"/>
      <c r="M11" s="35" t="s">
        <v>182</v>
      </c>
      <c r="N11" s="36" t="s">
        <v>24</v>
      </c>
      <c r="O11" s="36" t="s">
        <v>193</v>
      </c>
      <c r="P11" s="36" t="s">
        <v>194</v>
      </c>
      <c r="Q11" s="36" t="s">
        <v>212</v>
      </c>
      <c r="R11" s="37" t="s">
        <v>213</v>
      </c>
      <c r="S11" s="37">
        <v>0.97048999999999996</v>
      </c>
      <c r="T11" s="37">
        <v>58</v>
      </c>
      <c r="U11" s="37" t="s">
        <v>196</v>
      </c>
      <c r="V11" s="37" t="s">
        <v>197</v>
      </c>
      <c r="W11" s="37" t="s">
        <v>203</v>
      </c>
      <c r="X11" s="37" t="s">
        <v>188</v>
      </c>
      <c r="Y11" s="37" t="s">
        <v>214</v>
      </c>
      <c r="Z11" s="37" t="s">
        <v>24</v>
      </c>
      <c r="AA11" s="37" t="s">
        <v>215</v>
      </c>
      <c r="AB11" s="33" t="s">
        <v>24</v>
      </c>
      <c r="AC11" s="31" t="s">
        <v>216</v>
      </c>
      <c r="AD11" s="67" t="s">
        <v>343</v>
      </c>
      <c r="AE11" s="31" t="s">
        <v>218</v>
      </c>
      <c r="AF11" s="31" t="s">
        <v>219</v>
      </c>
      <c r="AG11" s="31" t="s">
        <v>220</v>
      </c>
      <c r="AH11" s="31" t="s">
        <v>221</v>
      </c>
      <c r="AI11" s="33" t="s">
        <v>299</v>
      </c>
      <c r="AJ11" s="31" t="s">
        <v>310</v>
      </c>
    </row>
    <row r="12" spans="1:36" ht="32">
      <c r="A12" s="33">
        <v>4</v>
      </c>
      <c r="B12" s="33">
        <v>38789675</v>
      </c>
      <c r="C12" s="40" t="s">
        <v>54</v>
      </c>
      <c r="D12" s="40" t="s">
        <v>56</v>
      </c>
      <c r="E12" s="33" t="s">
        <v>57</v>
      </c>
      <c r="F12" s="33" t="s">
        <v>191</v>
      </c>
      <c r="G12" s="33" t="s">
        <v>21</v>
      </c>
      <c r="H12" s="33" t="s">
        <v>30</v>
      </c>
      <c r="I12" s="33" t="s">
        <v>39</v>
      </c>
      <c r="J12" s="35" t="s">
        <v>97</v>
      </c>
      <c r="K12" s="35"/>
      <c r="L12" s="35"/>
      <c r="M12" s="35" t="s">
        <v>182</v>
      </c>
      <c r="N12" s="36" t="s">
        <v>97</v>
      </c>
      <c r="O12" s="36" t="s">
        <v>183</v>
      </c>
      <c r="P12" s="36" t="s">
        <v>183</v>
      </c>
      <c r="Q12" s="36" t="s">
        <v>183</v>
      </c>
      <c r="R12" s="37">
        <v>5</v>
      </c>
      <c r="S12" s="37">
        <v>0.58955000000000002</v>
      </c>
      <c r="T12" s="37">
        <v>25</v>
      </c>
      <c r="U12" s="37" t="s">
        <v>183</v>
      </c>
      <c r="V12" s="37" t="s">
        <v>183</v>
      </c>
      <c r="W12" s="37" t="s">
        <v>183</v>
      </c>
      <c r="X12" s="37" t="s">
        <v>183</v>
      </c>
      <c r="Y12" s="37" t="s">
        <v>183</v>
      </c>
      <c r="Z12" s="37" t="s">
        <v>183</v>
      </c>
      <c r="AA12" s="37" t="s">
        <v>184</v>
      </c>
      <c r="AB12" s="33" t="s">
        <v>97</v>
      </c>
      <c r="AC12" s="33" t="s">
        <v>184</v>
      </c>
      <c r="AD12" s="33" t="s">
        <v>184</v>
      </c>
      <c r="AE12" s="33" t="s">
        <v>184</v>
      </c>
      <c r="AF12" s="33" t="s">
        <v>184</v>
      </c>
      <c r="AG12" s="33" t="s">
        <v>184</v>
      </c>
      <c r="AH12" s="33" t="s">
        <v>184</v>
      </c>
      <c r="AI12" s="33" t="s">
        <v>303</v>
      </c>
      <c r="AJ12" s="31" t="s">
        <v>305</v>
      </c>
    </row>
    <row r="13" spans="1:36" ht="88">
      <c r="A13" s="33">
        <v>4</v>
      </c>
      <c r="B13" s="33">
        <v>38796255</v>
      </c>
      <c r="C13" s="40" t="s">
        <v>58</v>
      </c>
      <c r="D13" s="40" t="s">
        <v>56</v>
      </c>
      <c r="E13" s="33" t="s">
        <v>27</v>
      </c>
      <c r="F13" s="33" t="s">
        <v>180</v>
      </c>
      <c r="G13" s="33" t="s">
        <v>21</v>
      </c>
      <c r="H13" s="33" t="s">
        <v>23</v>
      </c>
      <c r="I13" s="33" t="s">
        <v>149</v>
      </c>
      <c r="J13" s="35" t="s">
        <v>24</v>
      </c>
      <c r="K13" s="35" t="s">
        <v>222</v>
      </c>
      <c r="L13" s="39">
        <v>2.6E-23</v>
      </c>
      <c r="M13" s="35" t="s">
        <v>223</v>
      </c>
      <c r="N13" s="36" t="s">
        <v>97</v>
      </c>
      <c r="O13" s="36" t="s">
        <v>183</v>
      </c>
      <c r="P13" s="36" t="s">
        <v>183</v>
      </c>
      <c r="Q13" s="36" t="s">
        <v>183</v>
      </c>
      <c r="R13" s="37">
        <v>6</v>
      </c>
      <c r="S13" s="37">
        <v>0.23616000000000001</v>
      </c>
      <c r="T13" s="37">
        <v>6</v>
      </c>
      <c r="U13" s="37" t="s">
        <v>183</v>
      </c>
      <c r="V13" s="37" t="s">
        <v>183</v>
      </c>
      <c r="W13" s="37" t="s">
        <v>183</v>
      </c>
      <c r="X13" s="37" t="s">
        <v>183</v>
      </c>
      <c r="Y13" s="37" t="s">
        <v>183</v>
      </c>
      <c r="Z13" s="37" t="s">
        <v>183</v>
      </c>
      <c r="AA13" s="37" t="s">
        <v>184</v>
      </c>
      <c r="AB13" s="33" t="s">
        <v>97</v>
      </c>
      <c r="AC13" s="33" t="s">
        <v>184</v>
      </c>
      <c r="AD13" s="33" t="s">
        <v>184</v>
      </c>
      <c r="AE13" s="33" t="s">
        <v>184</v>
      </c>
      <c r="AF13" s="33" t="s">
        <v>184</v>
      </c>
      <c r="AG13" s="33" t="s">
        <v>184</v>
      </c>
      <c r="AH13" s="33" t="s">
        <v>184</v>
      </c>
      <c r="AI13" s="33" t="s">
        <v>302</v>
      </c>
      <c r="AJ13" s="31" t="s">
        <v>311</v>
      </c>
    </row>
    <row r="14" spans="1:36" ht="88">
      <c r="A14" s="33">
        <v>4</v>
      </c>
      <c r="B14" s="33">
        <v>38802913</v>
      </c>
      <c r="C14" s="40" t="s">
        <v>59</v>
      </c>
      <c r="D14" s="40" t="s">
        <v>56</v>
      </c>
      <c r="E14" s="33" t="s">
        <v>47</v>
      </c>
      <c r="F14" s="33" t="s">
        <v>200</v>
      </c>
      <c r="G14" s="33" t="s">
        <v>30</v>
      </c>
      <c r="H14" s="33" t="s">
        <v>21</v>
      </c>
      <c r="I14" s="33" t="s">
        <v>60</v>
      </c>
      <c r="J14" s="35" t="s">
        <v>24</v>
      </c>
      <c r="K14" s="35" t="s">
        <v>222</v>
      </c>
      <c r="L14" s="39">
        <v>5.0000000000000002E-23</v>
      </c>
      <c r="M14" s="35" t="s">
        <v>223</v>
      </c>
      <c r="N14" s="36" t="s">
        <v>97</v>
      </c>
      <c r="O14" s="36" t="s">
        <v>183</v>
      </c>
      <c r="P14" s="36"/>
      <c r="Q14" s="36" t="s">
        <v>183</v>
      </c>
      <c r="R14" s="37" t="s">
        <v>186</v>
      </c>
      <c r="S14" s="37">
        <v>0.79208999999999996</v>
      </c>
      <c r="T14" s="37">
        <v>9</v>
      </c>
      <c r="U14" s="37" t="s">
        <v>187</v>
      </c>
      <c r="V14" s="37" t="s">
        <v>183</v>
      </c>
      <c r="W14" s="37" t="s">
        <v>183</v>
      </c>
      <c r="X14" s="37" t="s">
        <v>224</v>
      </c>
      <c r="Y14" s="37" t="s">
        <v>225</v>
      </c>
      <c r="Z14" s="37" t="s">
        <v>24</v>
      </c>
      <c r="AA14" s="37" t="s">
        <v>226</v>
      </c>
      <c r="AB14" s="33" t="s">
        <v>97</v>
      </c>
      <c r="AC14" s="33" t="s">
        <v>184</v>
      </c>
      <c r="AD14" s="33" t="s">
        <v>184</v>
      </c>
      <c r="AE14" s="33" t="s">
        <v>184</v>
      </c>
      <c r="AF14" s="33" t="s">
        <v>184</v>
      </c>
      <c r="AG14" s="33" t="s">
        <v>184</v>
      </c>
      <c r="AH14" s="33" t="s">
        <v>184</v>
      </c>
      <c r="AI14" s="33" t="s">
        <v>302</v>
      </c>
      <c r="AJ14" s="31" t="s">
        <v>312</v>
      </c>
    </row>
    <row r="15" spans="1:36" ht="88">
      <c r="A15" s="33">
        <v>4</v>
      </c>
      <c r="B15" s="33">
        <v>38803063</v>
      </c>
      <c r="C15" s="40" t="s">
        <v>61</v>
      </c>
      <c r="D15" s="40" t="s">
        <v>56</v>
      </c>
      <c r="E15" s="33" t="s">
        <v>47</v>
      </c>
      <c r="F15" s="33" t="s">
        <v>200</v>
      </c>
      <c r="G15" s="33" t="s">
        <v>30</v>
      </c>
      <c r="H15" s="33" t="s">
        <v>21</v>
      </c>
      <c r="I15" s="33" t="s">
        <v>60</v>
      </c>
      <c r="J15" s="35" t="s">
        <v>24</v>
      </c>
      <c r="K15" s="35" t="s">
        <v>222</v>
      </c>
      <c r="L15" s="39">
        <v>1.1E-22</v>
      </c>
      <c r="M15" s="35" t="s">
        <v>223</v>
      </c>
      <c r="N15" s="36" t="s">
        <v>24</v>
      </c>
      <c r="O15" s="36" t="s">
        <v>193</v>
      </c>
      <c r="P15" s="36" t="s">
        <v>194</v>
      </c>
      <c r="Q15" s="36" t="s">
        <v>212</v>
      </c>
      <c r="R15" s="37" t="s">
        <v>202</v>
      </c>
      <c r="S15" s="37">
        <v>0.55323999999999995</v>
      </c>
      <c r="T15" s="37">
        <v>10</v>
      </c>
      <c r="U15" s="37" t="s">
        <v>196</v>
      </c>
      <c r="V15" s="37" t="s">
        <v>227</v>
      </c>
      <c r="W15" s="37" t="s">
        <v>203</v>
      </c>
      <c r="X15" s="37" t="s">
        <v>224</v>
      </c>
      <c r="Y15" s="37" t="s">
        <v>228</v>
      </c>
      <c r="Z15" s="37" t="s">
        <v>24</v>
      </c>
      <c r="AA15" s="37" t="s">
        <v>229</v>
      </c>
      <c r="AB15" s="33" t="s">
        <v>97</v>
      </c>
      <c r="AC15" s="33" t="s">
        <v>184</v>
      </c>
      <c r="AD15" s="33" t="s">
        <v>184</v>
      </c>
      <c r="AE15" s="33" t="s">
        <v>184</v>
      </c>
      <c r="AF15" s="33" t="s">
        <v>184</v>
      </c>
      <c r="AG15" s="33" t="s">
        <v>184</v>
      </c>
      <c r="AH15" s="33" t="s">
        <v>184</v>
      </c>
      <c r="AI15" s="33" t="s">
        <v>299</v>
      </c>
      <c r="AJ15" s="31" t="s">
        <v>313</v>
      </c>
    </row>
    <row r="16" spans="1:36" ht="32">
      <c r="A16" s="33">
        <v>4</v>
      </c>
      <c r="B16" s="33">
        <v>38803646</v>
      </c>
      <c r="C16" s="40" t="s">
        <v>63</v>
      </c>
      <c r="D16" s="40" t="s">
        <v>56</v>
      </c>
      <c r="E16" s="33" t="s">
        <v>47</v>
      </c>
      <c r="F16" s="33" t="s">
        <v>200</v>
      </c>
      <c r="G16" s="33" t="s">
        <v>23</v>
      </c>
      <c r="H16" s="33" t="s">
        <v>43</v>
      </c>
      <c r="I16" s="33" t="s">
        <v>53</v>
      </c>
      <c r="J16" s="35" t="s">
        <v>97</v>
      </c>
      <c r="K16" s="35" t="s">
        <v>181</v>
      </c>
      <c r="L16" s="35" t="s">
        <v>182</v>
      </c>
      <c r="M16" s="35" t="s">
        <v>182</v>
      </c>
      <c r="N16" s="36" t="s">
        <v>97</v>
      </c>
      <c r="O16" s="36" t="s">
        <v>183</v>
      </c>
      <c r="P16" s="36" t="s">
        <v>183</v>
      </c>
      <c r="Q16" s="36" t="s">
        <v>183</v>
      </c>
      <c r="R16" s="37">
        <v>7</v>
      </c>
      <c r="S16" s="37">
        <v>0.18412000000000001</v>
      </c>
      <c r="T16" s="37">
        <v>0</v>
      </c>
      <c r="U16" s="37" t="s">
        <v>183</v>
      </c>
      <c r="V16" s="37" t="s">
        <v>183</v>
      </c>
      <c r="W16" s="37" t="s">
        <v>183</v>
      </c>
      <c r="X16" s="37" t="s">
        <v>183</v>
      </c>
      <c r="Y16" s="37" t="s">
        <v>183</v>
      </c>
      <c r="Z16" s="37" t="s">
        <v>183</v>
      </c>
      <c r="AA16" s="37" t="s">
        <v>184</v>
      </c>
      <c r="AB16" s="33" t="s">
        <v>97</v>
      </c>
      <c r="AC16" s="33" t="s">
        <v>184</v>
      </c>
      <c r="AD16" s="33" t="s">
        <v>184</v>
      </c>
      <c r="AE16" s="33" t="s">
        <v>184</v>
      </c>
      <c r="AF16" s="33" t="s">
        <v>184</v>
      </c>
      <c r="AG16" s="33" t="s">
        <v>184</v>
      </c>
      <c r="AH16" s="33" t="s">
        <v>184</v>
      </c>
      <c r="AI16" s="33" t="s">
        <v>303</v>
      </c>
      <c r="AJ16" s="31" t="s">
        <v>305</v>
      </c>
    </row>
    <row r="17" spans="1:36" ht="32">
      <c r="A17" s="33">
        <v>4</v>
      </c>
      <c r="B17" s="33">
        <v>38803784</v>
      </c>
      <c r="C17" s="40" t="s">
        <v>64</v>
      </c>
      <c r="D17" s="40" t="s">
        <v>56</v>
      </c>
      <c r="E17" s="33" t="s">
        <v>47</v>
      </c>
      <c r="F17" s="33" t="s">
        <v>200</v>
      </c>
      <c r="G17" s="33" t="s">
        <v>43</v>
      </c>
      <c r="H17" s="33" t="s">
        <v>23</v>
      </c>
      <c r="I17" s="33" t="s">
        <v>49</v>
      </c>
      <c r="J17" s="35" t="s">
        <v>97</v>
      </c>
      <c r="K17" s="35" t="s">
        <v>181</v>
      </c>
      <c r="L17" s="35" t="s">
        <v>182</v>
      </c>
      <c r="M17" s="35" t="s">
        <v>182</v>
      </c>
      <c r="N17" s="36" t="s">
        <v>97</v>
      </c>
      <c r="O17" s="36" t="s">
        <v>183</v>
      </c>
      <c r="P17" s="36" t="s">
        <v>183</v>
      </c>
      <c r="Q17" s="36" t="s">
        <v>183</v>
      </c>
      <c r="R17" s="37">
        <v>7</v>
      </c>
      <c r="S17" s="37">
        <v>0.18412000000000001</v>
      </c>
      <c r="T17" s="37">
        <v>0</v>
      </c>
      <c r="U17" s="37" t="s">
        <v>183</v>
      </c>
      <c r="V17" s="37" t="s">
        <v>183</v>
      </c>
      <c r="W17" s="37" t="s">
        <v>183</v>
      </c>
      <c r="X17" s="37" t="s">
        <v>183</v>
      </c>
      <c r="Y17" s="37" t="s">
        <v>183</v>
      </c>
      <c r="Z17" s="37" t="s">
        <v>183</v>
      </c>
      <c r="AA17" s="37" t="s">
        <v>184</v>
      </c>
      <c r="AB17" s="33" t="s">
        <v>97</v>
      </c>
      <c r="AC17" s="33" t="s">
        <v>184</v>
      </c>
      <c r="AD17" s="33" t="s">
        <v>184</v>
      </c>
      <c r="AE17" s="33" t="s">
        <v>184</v>
      </c>
      <c r="AF17" s="33" t="s">
        <v>184</v>
      </c>
      <c r="AG17" s="33" t="s">
        <v>184</v>
      </c>
      <c r="AH17" s="33" t="s">
        <v>184</v>
      </c>
      <c r="AI17" s="33" t="s">
        <v>303</v>
      </c>
      <c r="AJ17" s="31" t="s">
        <v>305</v>
      </c>
    </row>
    <row r="18" spans="1:36" ht="64">
      <c r="A18" s="33">
        <v>4</v>
      </c>
      <c r="B18" s="33">
        <v>38804405</v>
      </c>
      <c r="C18" s="40" t="s">
        <v>65</v>
      </c>
      <c r="D18" s="40" t="s">
        <v>56</v>
      </c>
      <c r="E18" s="33" t="s">
        <v>47</v>
      </c>
      <c r="F18" s="33" t="s">
        <v>200</v>
      </c>
      <c r="G18" s="33" t="s">
        <v>43</v>
      </c>
      <c r="H18" s="33" t="s">
        <v>23</v>
      </c>
      <c r="I18" s="33" t="s">
        <v>49</v>
      </c>
      <c r="J18" s="35" t="s">
        <v>97</v>
      </c>
      <c r="K18" s="35" t="s">
        <v>181</v>
      </c>
      <c r="L18" s="35" t="s">
        <v>182</v>
      </c>
      <c r="M18" s="35" t="s">
        <v>182</v>
      </c>
      <c r="N18" s="36" t="s">
        <v>97</v>
      </c>
      <c r="O18" s="36" t="s">
        <v>183</v>
      </c>
      <c r="P18" s="36" t="s">
        <v>183</v>
      </c>
      <c r="Q18" s="36" t="s">
        <v>183</v>
      </c>
      <c r="R18" s="37">
        <v>4</v>
      </c>
      <c r="S18" s="37">
        <v>0.60906000000000005</v>
      </c>
      <c r="T18" s="37">
        <v>71</v>
      </c>
      <c r="U18" s="37" t="s">
        <v>187</v>
      </c>
      <c r="V18" s="37" t="s">
        <v>183</v>
      </c>
      <c r="W18" s="37" t="s">
        <v>183</v>
      </c>
      <c r="X18" s="37" t="s">
        <v>230</v>
      </c>
      <c r="Y18" s="37" t="s">
        <v>231</v>
      </c>
      <c r="Z18" s="37" t="s">
        <v>24</v>
      </c>
      <c r="AA18" s="37" t="s">
        <v>232</v>
      </c>
      <c r="AB18" s="33" t="s">
        <v>97</v>
      </c>
      <c r="AC18" s="33" t="s">
        <v>184</v>
      </c>
      <c r="AD18" s="33" t="s">
        <v>184</v>
      </c>
      <c r="AE18" s="33" t="s">
        <v>184</v>
      </c>
      <c r="AF18" s="33" t="s">
        <v>184</v>
      </c>
      <c r="AG18" s="33" t="s">
        <v>184</v>
      </c>
      <c r="AH18" s="33" t="s">
        <v>184</v>
      </c>
      <c r="AI18" s="33" t="s">
        <v>302</v>
      </c>
      <c r="AJ18" s="31" t="s">
        <v>314</v>
      </c>
    </row>
    <row r="19" spans="1:36" ht="88">
      <c r="A19" s="33">
        <v>4</v>
      </c>
      <c r="B19" s="33">
        <v>38805489</v>
      </c>
      <c r="C19" s="40" t="s">
        <v>67</v>
      </c>
      <c r="D19" s="40" t="s">
        <v>56</v>
      </c>
      <c r="E19" s="33" t="s">
        <v>47</v>
      </c>
      <c r="F19" s="33" t="s">
        <v>200</v>
      </c>
      <c r="G19" s="33" t="s">
        <v>43</v>
      </c>
      <c r="H19" s="33" t="s">
        <v>23</v>
      </c>
      <c r="I19" s="33" t="s">
        <v>49</v>
      </c>
      <c r="J19" s="35" t="s">
        <v>24</v>
      </c>
      <c r="K19" s="35" t="s">
        <v>222</v>
      </c>
      <c r="L19" s="39">
        <v>5.0000000000000002E-23</v>
      </c>
      <c r="M19" s="35" t="s">
        <v>223</v>
      </c>
      <c r="N19" s="36" t="s">
        <v>24</v>
      </c>
      <c r="O19" s="36" t="s">
        <v>193</v>
      </c>
      <c r="P19" s="36" t="s">
        <v>194</v>
      </c>
      <c r="Q19" s="36" t="s">
        <v>212</v>
      </c>
      <c r="R19" s="37">
        <v>4</v>
      </c>
      <c r="S19" s="37">
        <v>0.60906000000000005</v>
      </c>
      <c r="T19" s="37">
        <v>17</v>
      </c>
      <c r="U19" s="37" t="s">
        <v>187</v>
      </c>
      <c r="V19" s="37" t="s">
        <v>183</v>
      </c>
      <c r="W19" s="37" t="s">
        <v>183</v>
      </c>
      <c r="X19" s="37" t="s">
        <v>233</v>
      </c>
      <c r="Y19" s="37" t="s">
        <v>234</v>
      </c>
      <c r="Z19" s="37" t="s">
        <v>24</v>
      </c>
      <c r="AA19" s="37" t="s">
        <v>235</v>
      </c>
      <c r="AB19" s="33" t="s">
        <v>97</v>
      </c>
      <c r="AC19" s="33" t="s">
        <v>184</v>
      </c>
      <c r="AD19" s="33" t="s">
        <v>184</v>
      </c>
      <c r="AE19" s="33" t="s">
        <v>184</v>
      </c>
      <c r="AF19" s="33" t="s">
        <v>184</v>
      </c>
      <c r="AG19" s="33" t="s">
        <v>184</v>
      </c>
      <c r="AH19" s="33" t="s">
        <v>184</v>
      </c>
      <c r="AI19" s="33" t="s">
        <v>299</v>
      </c>
      <c r="AJ19" s="31" t="s">
        <v>315</v>
      </c>
    </row>
    <row r="20" spans="1:36" ht="66">
      <c r="A20" s="33">
        <v>4</v>
      </c>
      <c r="B20" s="33">
        <v>38805983</v>
      </c>
      <c r="C20" s="40" t="s">
        <v>69</v>
      </c>
      <c r="D20" s="40" t="s">
        <v>56</v>
      </c>
      <c r="E20" s="33" t="s">
        <v>45</v>
      </c>
      <c r="F20" s="33" t="s">
        <v>191</v>
      </c>
      <c r="G20" s="33" t="s">
        <v>23</v>
      </c>
      <c r="H20" s="33" t="s">
        <v>43</v>
      </c>
      <c r="I20" s="33" t="s">
        <v>53</v>
      </c>
      <c r="J20" s="35" t="s">
        <v>97</v>
      </c>
      <c r="K20" s="35" t="s">
        <v>181</v>
      </c>
      <c r="L20" s="35" t="s">
        <v>182</v>
      </c>
      <c r="M20" s="35" t="s">
        <v>182</v>
      </c>
      <c r="N20" s="36" t="s">
        <v>24</v>
      </c>
      <c r="O20" s="36" t="s">
        <v>193</v>
      </c>
      <c r="P20" s="36" t="s">
        <v>194</v>
      </c>
      <c r="Q20" s="36" t="s">
        <v>212</v>
      </c>
      <c r="R20" s="37" t="s">
        <v>236</v>
      </c>
      <c r="S20" s="37">
        <v>0.97048999999999996</v>
      </c>
      <c r="T20" s="37">
        <v>58</v>
      </c>
      <c r="U20" s="37" t="s">
        <v>196</v>
      </c>
      <c r="V20" s="37" t="s">
        <v>197</v>
      </c>
      <c r="W20" s="37" t="s">
        <v>203</v>
      </c>
      <c r="X20" s="37" t="s">
        <v>237</v>
      </c>
      <c r="Y20" s="37" t="s">
        <v>238</v>
      </c>
      <c r="Z20" s="37" t="s">
        <v>24</v>
      </c>
      <c r="AA20" s="37" t="s">
        <v>239</v>
      </c>
      <c r="AB20" s="33" t="s">
        <v>97</v>
      </c>
      <c r="AC20" s="33" t="s">
        <v>184</v>
      </c>
      <c r="AD20" s="33" t="s">
        <v>184</v>
      </c>
      <c r="AE20" s="33" t="s">
        <v>184</v>
      </c>
      <c r="AF20" s="33" t="s">
        <v>184</v>
      </c>
      <c r="AG20" s="33" t="s">
        <v>184</v>
      </c>
      <c r="AH20" s="33" t="s">
        <v>184</v>
      </c>
      <c r="AI20" s="33" t="s">
        <v>299</v>
      </c>
      <c r="AJ20" s="31" t="s">
        <v>316</v>
      </c>
    </row>
    <row r="21" spans="1:36" ht="88">
      <c r="A21" s="33">
        <v>4</v>
      </c>
      <c r="B21" s="33">
        <v>38806019</v>
      </c>
      <c r="C21" s="40" t="s">
        <v>70</v>
      </c>
      <c r="D21" s="40" t="s">
        <v>56</v>
      </c>
      <c r="E21" s="33" t="s">
        <v>72</v>
      </c>
      <c r="F21" s="33" t="s">
        <v>240</v>
      </c>
      <c r="G21" s="33" t="s">
        <v>30</v>
      </c>
      <c r="H21" s="33" t="s">
        <v>21</v>
      </c>
      <c r="I21" s="33" t="s">
        <v>60</v>
      </c>
      <c r="J21" s="35" t="s">
        <v>24</v>
      </c>
      <c r="K21" s="35" t="s">
        <v>56</v>
      </c>
      <c r="L21" s="39">
        <v>2.6E-23</v>
      </c>
      <c r="M21" s="35" t="s">
        <v>223</v>
      </c>
      <c r="N21" s="36" t="s">
        <v>24</v>
      </c>
      <c r="O21" s="36" t="s">
        <v>193</v>
      </c>
      <c r="P21" s="36" t="s">
        <v>194</v>
      </c>
      <c r="Q21" s="36" t="s">
        <v>212</v>
      </c>
      <c r="R21" s="37" t="s">
        <v>241</v>
      </c>
      <c r="S21" s="37">
        <v>0.50083</v>
      </c>
      <c r="T21" s="37">
        <v>215</v>
      </c>
      <c r="U21" s="37" t="s">
        <v>196</v>
      </c>
      <c r="V21" s="37" t="s">
        <v>197</v>
      </c>
      <c r="W21" s="37" t="s">
        <v>203</v>
      </c>
      <c r="X21" s="37" t="s">
        <v>242</v>
      </c>
      <c r="Y21" s="37" t="s">
        <v>238</v>
      </c>
      <c r="Z21" s="37" t="s">
        <v>24</v>
      </c>
      <c r="AA21" s="37" t="s">
        <v>243</v>
      </c>
      <c r="AB21" s="33" t="s">
        <v>97</v>
      </c>
      <c r="AC21" s="33" t="s">
        <v>184</v>
      </c>
      <c r="AD21" s="33" t="s">
        <v>184</v>
      </c>
      <c r="AE21" s="33" t="s">
        <v>184</v>
      </c>
      <c r="AF21" s="33" t="s">
        <v>184</v>
      </c>
      <c r="AG21" s="33" t="s">
        <v>184</v>
      </c>
      <c r="AH21" s="33" t="s">
        <v>184</v>
      </c>
      <c r="AI21" s="33" t="s">
        <v>299</v>
      </c>
      <c r="AJ21" s="31" t="s">
        <v>317</v>
      </c>
    </row>
    <row r="22" spans="1:36" ht="88">
      <c r="A22" s="33">
        <v>4</v>
      </c>
      <c r="B22" s="33">
        <v>38806096</v>
      </c>
      <c r="C22" s="40" t="s">
        <v>73</v>
      </c>
      <c r="D22" s="40" t="s">
        <v>56</v>
      </c>
      <c r="E22" s="33" t="s">
        <v>47</v>
      </c>
      <c r="F22" s="33" t="s">
        <v>200</v>
      </c>
      <c r="G22" s="33" t="s">
        <v>23</v>
      </c>
      <c r="H22" s="33" t="s">
        <v>43</v>
      </c>
      <c r="I22" s="33" t="s">
        <v>53</v>
      </c>
      <c r="J22" s="35" t="s">
        <v>24</v>
      </c>
      <c r="K22" s="35" t="s">
        <v>56</v>
      </c>
      <c r="L22" s="39">
        <v>2.6E-23</v>
      </c>
      <c r="M22" s="35" t="s">
        <v>223</v>
      </c>
      <c r="N22" s="36" t="s">
        <v>24</v>
      </c>
      <c r="O22" s="36" t="s">
        <v>193</v>
      </c>
      <c r="P22" s="36" t="s">
        <v>194</v>
      </c>
      <c r="Q22" s="36" t="s">
        <v>212</v>
      </c>
      <c r="R22" s="37">
        <v>4</v>
      </c>
      <c r="S22" s="37">
        <v>0.60906000000000005</v>
      </c>
      <c r="T22" s="37">
        <v>184</v>
      </c>
      <c r="U22" s="37" t="s">
        <v>244</v>
      </c>
      <c r="V22" s="37" t="s">
        <v>183</v>
      </c>
      <c r="W22" s="37" t="s">
        <v>183</v>
      </c>
      <c r="X22" s="37" t="s">
        <v>245</v>
      </c>
      <c r="Y22" s="37" t="s">
        <v>238</v>
      </c>
      <c r="Z22" s="37" t="s">
        <v>24</v>
      </c>
      <c r="AA22" s="37" t="s">
        <v>243</v>
      </c>
      <c r="AB22" s="33" t="s">
        <v>97</v>
      </c>
      <c r="AC22" s="33" t="s">
        <v>184</v>
      </c>
      <c r="AD22" s="33" t="s">
        <v>184</v>
      </c>
      <c r="AE22" s="33" t="s">
        <v>184</v>
      </c>
      <c r="AF22" s="33" t="s">
        <v>184</v>
      </c>
      <c r="AG22" s="33" t="s">
        <v>184</v>
      </c>
      <c r="AH22" s="33" t="s">
        <v>184</v>
      </c>
      <c r="AI22" s="33" t="s">
        <v>299</v>
      </c>
      <c r="AJ22" s="31" t="s">
        <v>315</v>
      </c>
    </row>
    <row r="23" spans="1:36" ht="88">
      <c r="A23" s="33">
        <v>4</v>
      </c>
      <c r="B23" s="33">
        <v>38806200</v>
      </c>
      <c r="C23" s="40" t="s">
        <v>74</v>
      </c>
      <c r="D23" s="40" t="s">
        <v>56</v>
      </c>
      <c r="E23" s="33" t="s">
        <v>47</v>
      </c>
      <c r="F23" s="33" t="s">
        <v>200</v>
      </c>
      <c r="G23" s="33" t="s">
        <v>21</v>
      </c>
      <c r="H23" s="33" t="s">
        <v>23</v>
      </c>
      <c r="I23" s="33" t="s">
        <v>149</v>
      </c>
      <c r="J23" s="35" t="s">
        <v>24</v>
      </c>
      <c r="K23" s="35" t="s">
        <v>56</v>
      </c>
      <c r="L23" s="39">
        <v>2.6E-23</v>
      </c>
      <c r="M23" s="35" t="s">
        <v>223</v>
      </c>
      <c r="N23" s="36" t="s">
        <v>97</v>
      </c>
      <c r="O23" s="36" t="s">
        <v>183</v>
      </c>
      <c r="P23" s="36" t="s">
        <v>183</v>
      </c>
      <c r="Q23" s="36" t="s">
        <v>183</v>
      </c>
      <c r="R23" s="37">
        <v>4</v>
      </c>
      <c r="S23" s="37">
        <v>0.60906000000000005</v>
      </c>
      <c r="T23" s="37">
        <v>113</v>
      </c>
      <c r="U23" s="37" t="s">
        <v>244</v>
      </c>
      <c r="V23" s="37" t="s">
        <v>183</v>
      </c>
      <c r="W23" s="37" t="s">
        <v>183</v>
      </c>
      <c r="X23" s="37" t="s">
        <v>245</v>
      </c>
      <c r="Y23" s="37" t="s">
        <v>238</v>
      </c>
      <c r="Z23" s="37" t="s">
        <v>24</v>
      </c>
      <c r="AA23" s="37" t="s">
        <v>246</v>
      </c>
      <c r="AB23" s="33" t="s">
        <v>97</v>
      </c>
      <c r="AC23" s="33" t="s">
        <v>184</v>
      </c>
      <c r="AD23" s="33" t="s">
        <v>184</v>
      </c>
      <c r="AE23" s="33" t="s">
        <v>184</v>
      </c>
      <c r="AF23" s="33" t="s">
        <v>184</v>
      </c>
      <c r="AG23" s="33" t="s">
        <v>184</v>
      </c>
      <c r="AH23" s="33" t="s">
        <v>184</v>
      </c>
      <c r="AI23" s="33" t="s">
        <v>302</v>
      </c>
      <c r="AJ23" s="31" t="s">
        <v>318</v>
      </c>
    </row>
    <row r="24" spans="1:36" ht="64">
      <c r="A24" s="33">
        <v>4</v>
      </c>
      <c r="B24" s="33">
        <v>38806827</v>
      </c>
      <c r="C24" s="40" t="s">
        <v>75</v>
      </c>
      <c r="D24" s="40" t="s">
        <v>56</v>
      </c>
      <c r="E24" s="33" t="s">
        <v>32</v>
      </c>
      <c r="F24" s="33" t="s">
        <v>180</v>
      </c>
      <c r="G24" s="33" t="s">
        <v>21</v>
      </c>
      <c r="H24" s="33" t="s">
        <v>30</v>
      </c>
      <c r="I24" s="33" t="s">
        <v>39</v>
      </c>
      <c r="J24" s="35" t="s">
        <v>97</v>
      </c>
      <c r="K24" s="35" t="s">
        <v>181</v>
      </c>
      <c r="L24" s="35" t="s">
        <v>182</v>
      </c>
      <c r="M24" s="35" t="s">
        <v>182</v>
      </c>
      <c r="N24" s="36" t="s">
        <v>24</v>
      </c>
      <c r="O24" s="36" t="s">
        <v>193</v>
      </c>
      <c r="P24" s="36" t="s">
        <v>194</v>
      </c>
      <c r="Q24" s="36" t="s">
        <v>212</v>
      </c>
      <c r="R24" s="37" t="s">
        <v>202</v>
      </c>
      <c r="S24" s="37">
        <v>0.55435999999999996</v>
      </c>
      <c r="T24" s="37">
        <v>51</v>
      </c>
      <c r="U24" s="37" t="s">
        <v>196</v>
      </c>
      <c r="V24" s="37" t="s">
        <v>197</v>
      </c>
      <c r="W24" s="37" t="s">
        <v>203</v>
      </c>
      <c r="X24" s="37" t="s">
        <v>247</v>
      </c>
      <c r="Y24" s="37" t="s">
        <v>248</v>
      </c>
      <c r="Z24" s="37" t="s">
        <v>24</v>
      </c>
      <c r="AA24" s="37" t="s">
        <v>249</v>
      </c>
      <c r="AB24" s="33" t="s">
        <v>24</v>
      </c>
      <c r="AC24" s="31" t="s">
        <v>250</v>
      </c>
      <c r="AD24" s="31" t="s">
        <v>251</v>
      </c>
      <c r="AE24" s="31" t="s">
        <v>252</v>
      </c>
      <c r="AF24" s="31" t="s">
        <v>253</v>
      </c>
      <c r="AG24" s="31" t="s">
        <v>254</v>
      </c>
      <c r="AH24" s="31" t="s">
        <v>255</v>
      </c>
      <c r="AI24" s="33" t="s">
        <v>299</v>
      </c>
      <c r="AJ24" s="31" t="s">
        <v>319</v>
      </c>
    </row>
    <row r="25" spans="1:36" ht="66">
      <c r="A25" s="33">
        <v>4</v>
      </c>
      <c r="B25" s="33">
        <v>38806851</v>
      </c>
      <c r="C25" s="40" t="s">
        <v>76</v>
      </c>
      <c r="D25" s="40" t="s">
        <v>56</v>
      </c>
      <c r="E25" s="33" t="s">
        <v>32</v>
      </c>
      <c r="F25" s="33" t="s">
        <v>180</v>
      </c>
      <c r="G25" s="33" t="s">
        <v>30</v>
      </c>
      <c r="H25" s="33" t="s">
        <v>21</v>
      </c>
      <c r="I25" s="33" t="s">
        <v>60</v>
      </c>
      <c r="J25" s="35" t="s">
        <v>97</v>
      </c>
      <c r="K25" s="35" t="s">
        <v>181</v>
      </c>
      <c r="L25" s="35" t="s">
        <v>182</v>
      </c>
      <c r="M25" s="35" t="s">
        <v>182</v>
      </c>
      <c r="N25" s="36" t="s">
        <v>97</v>
      </c>
      <c r="O25" s="36" t="s">
        <v>183</v>
      </c>
      <c r="P25" s="36" t="s">
        <v>183</v>
      </c>
      <c r="Q25" s="36" t="s">
        <v>183</v>
      </c>
      <c r="R25" s="37">
        <v>4</v>
      </c>
      <c r="S25" s="37">
        <v>0.60906000000000005</v>
      </c>
      <c r="T25" s="37">
        <v>39</v>
      </c>
      <c r="U25" s="37" t="s">
        <v>187</v>
      </c>
      <c r="V25" s="37" t="s">
        <v>183</v>
      </c>
      <c r="W25" s="37" t="s">
        <v>183</v>
      </c>
      <c r="X25" s="37" t="s">
        <v>256</v>
      </c>
      <c r="Y25" s="37" t="s">
        <v>238</v>
      </c>
      <c r="Z25" s="37" t="s">
        <v>24</v>
      </c>
      <c r="AA25" s="37" t="s">
        <v>246</v>
      </c>
      <c r="AB25" s="33" t="s">
        <v>97</v>
      </c>
      <c r="AC25" s="33" t="s">
        <v>184</v>
      </c>
      <c r="AD25" s="33" t="s">
        <v>184</v>
      </c>
      <c r="AE25" s="33" t="s">
        <v>184</v>
      </c>
      <c r="AF25" s="33" t="s">
        <v>184</v>
      </c>
      <c r="AG25" s="33" t="s">
        <v>184</v>
      </c>
      <c r="AH25" s="33" t="s">
        <v>184</v>
      </c>
      <c r="AI25" s="33" t="s">
        <v>302</v>
      </c>
      <c r="AJ25" s="31" t="s">
        <v>320</v>
      </c>
    </row>
    <row r="26" spans="1:36" ht="88">
      <c r="A26" s="33">
        <v>4</v>
      </c>
      <c r="B26" s="33">
        <v>38807328</v>
      </c>
      <c r="C26" s="40" t="s">
        <v>77</v>
      </c>
      <c r="D26" s="40" t="s">
        <v>56</v>
      </c>
      <c r="E26" s="33" t="s">
        <v>32</v>
      </c>
      <c r="F26" s="33" t="s">
        <v>180</v>
      </c>
      <c r="G26" s="33" t="s">
        <v>30</v>
      </c>
      <c r="H26" s="33" t="s">
        <v>21</v>
      </c>
      <c r="I26" s="33" t="s">
        <v>60</v>
      </c>
      <c r="J26" s="35" t="s">
        <v>24</v>
      </c>
      <c r="K26" s="35" t="s">
        <v>56</v>
      </c>
      <c r="L26" s="35" t="s">
        <v>257</v>
      </c>
      <c r="M26" s="35" t="s">
        <v>223</v>
      </c>
      <c r="N26" s="36" t="s">
        <v>97</v>
      </c>
      <c r="O26" s="36" t="s">
        <v>183</v>
      </c>
      <c r="P26" s="36" t="s">
        <v>183</v>
      </c>
      <c r="Q26" s="36" t="s">
        <v>183</v>
      </c>
      <c r="R26" s="37">
        <v>4</v>
      </c>
      <c r="S26" s="37">
        <v>0.60906000000000005</v>
      </c>
      <c r="T26" s="37">
        <v>327</v>
      </c>
      <c r="U26" s="37" t="s">
        <v>187</v>
      </c>
      <c r="V26" s="37" t="s">
        <v>183</v>
      </c>
      <c r="W26" s="37" t="s">
        <v>183</v>
      </c>
      <c r="X26" s="37" t="s">
        <v>258</v>
      </c>
      <c r="Y26" s="37" t="s">
        <v>259</v>
      </c>
      <c r="Z26" s="37" t="s">
        <v>24</v>
      </c>
      <c r="AA26" s="37" t="s">
        <v>260</v>
      </c>
      <c r="AB26" s="33" t="s">
        <v>97</v>
      </c>
      <c r="AC26" s="33" t="s">
        <v>184</v>
      </c>
      <c r="AD26" s="33" t="s">
        <v>184</v>
      </c>
      <c r="AE26" s="33" t="s">
        <v>184</v>
      </c>
      <c r="AF26" s="33" t="s">
        <v>184</v>
      </c>
      <c r="AG26" s="33" t="s">
        <v>184</v>
      </c>
      <c r="AH26" s="33" t="s">
        <v>184</v>
      </c>
      <c r="AI26" s="33" t="s">
        <v>302</v>
      </c>
      <c r="AJ26" s="31" t="s">
        <v>318</v>
      </c>
    </row>
    <row r="27" spans="1:36" ht="88">
      <c r="A27" s="33">
        <v>4</v>
      </c>
      <c r="B27" s="33">
        <v>38808045</v>
      </c>
      <c r="C27" s="40" t="s">
        <v>78</v>
      </c>
      <c r="D27" s="40" t="s">
        <v>56</v>
      </c>
      <c r="E27" s="33" t="s">
        <v>32</v>
      </c>
      <c r="F27" s="33" t="s">
        <v>180</v>
      </c>
      <c r="G27" s="33" t="s">
        <v>30</v>
      </c>
      <c r="H27" s="33" t="s">
        <v>23</v>
      </c>
      <c r="I27" s="33" t="s">
        <v>101</v>
      </c>
      <c r="J27" s="35" t="s">
        <v>24</v>
      </c>
      <c r="K27" s="35" t="s">
        <v>56</v>
      </c>
      <c r="L27" s="39">
        <v>5.3999999999999997E-23</v>
      </c>
      <c r="M27" s="35" t="s">
        <v>223</v>
      </c>
      <c r="N27" s="36" t="s">
        <v>97</v>
      </c>
      <c r="O27" s="36" t="s">
        <v>183</v>
      </c>
      <c r="P27" s="36" t="s">
        <v>183</v>
      </c>
      <c r="Q27" s="36" t="s">
        <v>183</v>
      </c>
      <c r="R27" s="37">
        <v>4</v>
      </c>
      <c r="S27" s="37">
        <v>0.60906000000000005</v>
      </c>
      <c r="T27" s="37">
        <v>6</v>
      </c>
      <c r="U27" s="37" t="s">
        <v>187</v>
      </c>
      <c r="V27" s="37" t="s">
        <v>183</v>
      </c>
      <c r="W27" s="37" t="s">
        <v>183</v>
      </c>
      <c r="X27" s="37" t="s">
        <v>188</v>
      </c>
      <c r="Y27" s="37" t="s">
        <v>238</v>
      </c>
      <c r="Z27" s="37" t="s">
        <v>24</v>
      </c>
      <c r="AA27" s="37" t="s">
        <v>261</v>
      </c>
      <c r="AB27" s="33" t="s">
        <v>97</v>
      </c>
      <c r="AC27" s="33" t="s">
        <v>184</v>
      </c>
      <c r="AD27" s="33" t="s">
        <v>184</v>
      </c>
      <c r="AE27" s="33" t="s">
        <v>184</v>
      </c>
      <c r="AF27" s="33" t="s">
        <v>184</v>
      </c>
      <c r="AG27" s="33" t="s">
        <v>184</v>
      </c>
      <c r="AH27" s="33" t="s">
        <v>184</v>
      </c>
      <c r="AI27" s="33" t="s">
        <v>302</v>
      </c>
      <c r="AJ27" s="31" t="s">
        <v>318</v>
      </c>
    </row>
    <row r="28" spans="1:36" ht="48">
      <c r="A28" s="33">
        <v>4</v>
      </c>
      <c r="B28" s="33">
        <v>38808585</v>
      </c>
      <c r="C28" s="40" t="s">
        <v>79</v>
      </c>
      <c r="D28" s="40" t="s">
        <v>56</v>
      </c>
      <c r="E28" s="33" t="s">
        <v>32</v>
      </c>
      <c r="F28" s="33" t="s">
        <v>180</v>
      </c>
      <c r="G28" s="33" t="s">
        <v>21</v>
      </c>
      <c r="H28" s="33" t="s">
        <v>43</v>
      </c>
      <c r="I28" s="33" t="s">
        <v>91</v>
      </c>
      <c r="J28" s="35" t="s">
        <v>97</v>
      </c>
      <c r="K28" s="35" t="s">
        <v>181</v>
      </c>
      <c r="L28" s="35" t="s">
        <v>182</v>
      </c>
      <c r="M28" s="35" t="s">
        <v>182</v>
      </c>
      <c r="N28" s="36" t="s">
        <v>97</v>
      </c>
      <c r="O28" s="36" t="s">
        <v>183</v>
      </c>
      <c r="P28" s="36" t="s">
        <v>183</v>
      </c>
      <c r="Q28" s="36" t="s">
        <v>183</v>
      </c>
      <c r="R28" s="37" t="s">
        <v>186</v>
      </c>
      <c r="S28" s="37">
        <v>0.82269999999999999</v>
      </c>
      <c r="T28" s="37">
        <v>4</v>
      </c>
      <c r="U28" s="37" t="s">
        <v>187</v>
      </c>
      <c r="V28" s="37" t="s">
        <v>183</v>
      </c>
      <c r="W28" s="37" t="s">
        <v>183</v>
      </c>
      <c r="X28" s="37" t="s">
        <v>188</v>
      </c>
      <c r="Y28" s="37" t="s">
        <v>262</v>
      </c>
      <c r="Z28" s="37" t="s">
        <v>24</v>
      </c>
      <c r="AA28" s="37" t="s">
        <v>263</v>
      </c>
      <c r="AB28" s="33" t="s">
        <v>97</v>
      </c>
      <c r="AC28" s="33" t="s">
        <v>184</v>
      </c>
      <c r="AD28" s="33" t="s">
        <v>184</v>
      </c>
      <c r="AE28" s="33" t="s">
        <v>184</v>
      </c>
      <c r="AF28" s="33" t="s">
        <v>184</v>
      </c>
      <c r="AG28" s="33" t="s">
        <v>184</v>
      </c>
      <c r="AH28" s="33" t="s">
        <v>184</v>
      </c>
      <c r="AI28" s="33" t="s">
        <v>302</v>
      </c>
      <c r="AJ28" s="31" t="s">
        <v>321</v>
      </c>
    </row>
    <row r="29" spans="1:36" ht="32">
      <c r="A29" s="33">
        <v>4</v>
      </c>
      <c r="B29" s="33">
        <v>38808613</v>
      </c>
      <c r="C29" s="40" t="s">
        <v>81</v>
      </c>
      <c r="D29" s="40" t="s">
        <v>56</v>
      </c>
      <c r="E29" s="33" t="s">
        <v>32</v>
      </c>
      <c r="F29" s="33" t="s">
        <v>180</v>
      </c>
      <c r="G29" s="33" t="s">
        <v>21</v>
      </c>
      <c r="H29" s="33" t="s">
        <v>30</v>
      </c>
      <c r="I29" s="33" t="s">
        <v>39</v>
      </c>
      <c r="J29" s="35" t="s">
        <v>97</v>
      </c>
      <c r="K29" s="35" t="s">
        <v>181</v>
      </c>
      <c r="L29" s="35" t="s">
        <v>182</v>
      </c>
      <c r="M29" s="35" t="s">
        <v>182</v>
      </c>
      <c r="N29" s="36" t="s">
        <v>97</v>
      </c>
      <c r="O29" s="36" t="s">
        <v>183</v>
      </c>
      <c r="P29" s="36" t="s">
        <v>183</v>
      </c>
      <c r="Q29" s="36" t="s">
        <v>183</v>
      </c>
      <c r="R29" s="37">
        <v>5</v>
      </c>
      <c r="S29" s="37">
        <v>0.88556000000000001</v>
      </c>
      <c r="T29" s="37">
        <v>6</v>
      </c>
      <c r="U29" s="37" t="s">
        <v>183</v>
      </c>
      <c r="V29" s="37" t="s">
        <v>183</v>
      </c>
      <c r="W29" s="37" t="s">
        <v>183</v>
      </c>
      <c r="X29" s="41" t="s">
        <v>183</v>
      </c>
      <c r="Y29" s="37" t="s">
        <v>183</v>
      </c>
      <c r="Z29" s="37" t="s">
        <v>183</v>
      </c>
      <c r="AA29" s="37" t="s">
        <v>184</v>
      </c>
      <c r="AB29" s="33" t="s">
        <v>97</v>
      </c>
      <c r="AC29" s="33" t="s">
        <v>184</v>
      </c>
      <c r="AD29" s="33" t="s">
        <v>184</v>
      </c>
      <c r="AE29" s="33" t="s">
        <v>184</v>
      </c>
      <c r="AF29" s="33" t="s">
        <v>184</v>
      </c>
      <c r="AG29" s="33" t="s">
        <v>184</v>
      </c>
      <c r="AH29" s="33" t="s">
        <v>184</v>
      </c>
      <c r="AI29" s="33" t="s">
        <v>303</v>
      </c>
      <c r="AJ29" s="31" t="s">
        <v>305</v>
      </c>
    </row>
    <row r="30" spans="1:36" ht="32">
      <c r="A30" s="33">
        <v>4</v>
      </c>
      <c r="B30" s="33">
        <v>38809924</v>
      </c>
      <c r="C30" s="40" t="s">
        <v>82</v>
      </c>
      <c r="D30" s="40" t="s">
        <v>56</v>
      </c>
      <c r="E30" s="33" t="s">
        <v>32</v>
      </c>
      <c r="F30" s="33" t="s">
        <v>180</v>
      </c>
      <c r="G30" s="33" t="s">
        <v>21</v>
      </c>
      <c r="H30" s="33" t="s">
        <v>30</v>
      </c>
      <c r="I30" s="33" t="s">
        <v>39</v>
      </c>
      <c r="J30" s="35" t="s">
        <v>97</v>
      </c>
      <c r="K30" s="35" t="s">
        <v>181</v>
      </c>
      <c r="L30" s="35" t="s">
        <v>182</v>
      </c>
      <c r="M30" s="35" t="s">
        <v>182</v>
      </c>
      <c r="N30" s="36" t="s">
        <v>97</v>
      </c>
      <c r="O30" s="36" t="s">
        <v>183</v>
      </c>
      <c r="P30" s="36" t="s">
        <v>183</v>
      </c>
      <c r="Q30" s="36" t="s">
        <v>183</v>
      </c>
      <c r="R30" s="37">
        <v>6</v>
      </c>
      <c r="S30" s="37">
        <v>0.20075000000000001</v>
      </c>
      <c r="T30" s="37">
        <v>3</v>
      </c>
      <c r="U30" s="37" t="s">
        <v>183</v>
      </c>
      <c r="V30" s="37" t="s">
        <v>183</v>
      </c>
      <c r="W30" s="37" t="s">
        <v>183</v>
      </c>
      <c r="X30" s="37" t="s">
        <v>183</v>
      </c>
      <c r="Y30" s="37" t="s">
        <v>183</v>
      </c>
      <c r="Z30" s="37" t="s">
        <v>183</v>
      </c>
      <c r="AA30" s="37" t="s">
        <v>184</v>
      </c>
      <c r="AB30" s="33" t="s">
        <v>97</v>
      </c>
      <c r="AC30" s="33" t="s">
        <v>184</v>
      </c>
      <c r="AD30" s="33" t="s">
        <v>184</v>
      </c>
      <c r="AE30" s="33" t="s">
        <v>184</v>
      </c>
      <c r="AF30" s="33" t="s">
        <v>184</v>
      </c>
      <c r="AG30" s="33" t="s">
        <v>184</v>
      </c>
      <c r="AH30" s="33" t="s">
        <v>184</v>
      </c>
      <c r="AI30" s="33" t="s">
        <v>303</v>
      </c>
      <c r="AJ30" s="31" t="s">
        <v>305</v>
      </c>
    </row>
    <row r="31" spans="1:36" ht="32">
      <c r="A31" s="33">
        <v>4</v>
      </c>
      <c r="B31" s="33">
        <v>38810444</v>
      </c>
      <c r="C31" s="40" t="s">
        <v>83</v>
      </c>
      <c r="D31" s="40" t="s">
        <v>56</v>
      </c>
      <c r="E31" s="33" t="s">
        <v>32</v>
      </c>
      <c r="F31" s="33" t="s">
        <v>180</v>
      </c>
      <c r="G31" s="33" t="s">
        <v>43</v>
      </c>
      <c r="H31" s="33" t="s">
        <v>23</v>
      </c>
      <c r="I31" s="33" t="s">
        <v>49</v>
      </c>
      <c r="J31" s="35" t="s">
        <v>97</v>
      </c>
      <c r="K31" s="35" t="s">
        <v>181</v>
      </c>
      <c r="L31" s="35" t="s">
        <v>182</v>
      </c>
      <c r="M31" s="35" t="s">
        <v>182</v>
      </c>
      <c r="N31" s="36" t="s">
        <v>97</v>
      </c>
      <c r="O31" s="36" t="s">
        <v>183</v>
      </c>
      <c r="P31" s="36" t="s">
        <v>183</v>
      </c>
      <c r="Q31" s="36" t="s">
        <v>183</v>
      </c>
      <c r="R31" s="37">
        <v>7</v>
      </c>
      <c r="S31" s="37">
        <v>0.18412000000000001</v>
      </c>
      <c r="T31" s="37">
        <v>0</v>
      </c>
      <c r="U31" s="37" t="s">
        <v>183</v>
      </c>
      <c r="V31" s="37" t="s">
        <v>183</v>
      </c>
      <c r="W31" s="37" t="s">
        <v>183</v>
      </c>
      <c r="X31" s="37" t="s">
        <v>183</v>
      </c>
      <c r="Y31" s="37" t="s">
        <v>183</v>
      </c>
      <c r="Z31" s="37" t="s">
        <v>183</v>
      </c>
      <c r="AA31" s="37" t="s">
        <v>184</v>
      </c>
      <c r="AB31" s="33" t="s">
        <v>97</v>
      </c>
      <c r="AC31" s="33" t="s">
        <v>184</v>
      </c>
      <c r="AD31" s="33" t="s">
        <v>184</v>
      </c>
      <c r="AE31" s="33" t="s">
        <v>184</v>
      </c>
      <c r="AF31" s="33" t="s">
        <v>184</v>
      </c>
      <c r="AG31" s="33" t="s">
        <v>184</v>
      </c>
      <c r="AH31" s="33" t="s">
        <v>184</v>
      </c>
      <c r="AI31" s="33" t="s">
        <v>303</v>
      </c>
      <c r="AJ31" s="31" t="s">
        <v>305</v>
      </c>
    </row>
    <row r="32" spans="1:36" ht="88">
      <c r="A32" s="33">
        <v>4</v>
      </c>
      <c r="B32" s="33">
        <v>38810738</v>
      </c>
      <c r="C32" s="40" t="s">
        <v>84</v>
      </c>
      <c r="D32" s="40" t="s">
        <v>56</v>
      </c>
      <c r="E32" s="33" t="s">
        <v>32</v>
      </c>
      <c r="F32" s="33" t="s">
        <v>180</v>
      </c>
      <c r="G32" s="33" t="s">
        <v>43</v>
      </c>
      <c r="H32" s="33" t="s">
        <v>21</v>
      </c>
      <c r="I32" s="33" t="s">
        <v>85</v>
      </c>
      <c r="J32" s="35" t="s">
        <v>24</v>
      </c>
      <c r="K32" s="35" t="s">
        <v>56</v>
      </c>
      <c r="L32" s="39">
        <v>5.3999999999999997E-23</v>
      </c>
      <c r="M32" s="35" t="s">
        <v>223</v>
      </c>
      <c r="N32" s="36" t="s">
        <v>97</v>
      </c>
      <c r="O32" s="36" t="s">
        <v>183</v>
      </c>
      <c r="P32" s="36" t="s">
        <v>183</v>
      </c>
      <c r="Q32" s="36" t="s">
        <v>183</v>
      </c>
      <c r="R32" s="37">
        <v>7</v>
      </c>
      <c r="S32" s="37">
        <v>0.18412000000000001</v>
      </c>
      <c r="T32" s="37">
        <v>0</v>
      </c>
      <c r="U32" s="37" t="s">
        <v>183</v>
      </c>
      <c r="V32" s="37" t="s">
        <v>183</v>
      </c>
      <c r="W32" s="37" t="s">
        <v>183</v>
      </c>
      <c r="X32" s="37" t="s">
        <v>183</v>
      </c>
      <c r="Y32" s="37" t="s">
        <v>183</v>
      </c>
      <c r="Z32" s="37" t="s">
        <v>183</v>
      </c>
      <c r="AA32" s="37" t="s">
        <v>184</v>
      </c>
      <c r="AB32" s="33" t="s">
        <v>97</v>
      </c>
      <c r="AC32" s="33" t="s">
        <v>184</v>
      </c>
      <c r="AD32" s="33" t="s">
        <v>184</v>
      </c>
      <c r="AE32" s="33" t="s">
        <v>184</v>
      </c>
      <c r="AF32" s="33" t="s">
        <v>184</v>
      </c>
      <c r="AG32" s="33" t="s">
        <v>184</v>
      </c>
      <c r="AH32" s="33" t="s">
        <v>184</v>
      </c>
      <c r="AI32" s="33" t="s">
        <v>302</v>
      </c>
      <c r="AJ32" s="31" t="s">
        <v>322</v>
      </c>
    </row>
    <row r="33" spans="1:36" ht="88">
      <c r="A33" s="33">
        <v>4</v>
      </c>
      <c r="B33" s="33">
        <v>38810769</v>
      </c>
      <c r="C33" s="40" t="s">
        <v>86</v>
      </c>
      <c r="D33" s="40" t="s">
        <v>56</v>
      </c>
      <c r="E33" s="33" t="s">
        <v>32</v>
      </c>
      <c r="F33" s="33" t="s">
        <v>180</v>
      </c>
      <c r="G33" s="33" t="s">
        <v>43</v>
      </c>
      <c r="H33" s="33" t="s">
        <v>23</v>
      </c>
      <c r="I33" s="33" t="s">
        <v>49</v>
      </c>
      <c r="J33" s="35" t="s">
        <v>24</v>
      </c>
      <c r="K33" s="35" t="s">
        <v>56</v>
      </c>
      <c r="L33" s="39">
        <v>5.3999999999999997E-23</v>
      </c>
      <c r="M33" s="35" t="s">
        <v>223</v>
      </c>
      <c r="N33" s="36" t="s">
        <v>24</v>
      </c>
      <c r="O33" s="36" t="s">
        <v>264</v>
      </c>
      <c r="P33" s="36" t="s">
        <v>265</v>
      </c>
      <c r="Q33" s="36" t="s">
        <v>212</v>
      </c>
      <c r="R33" s="37">
        <v>7</v>
      </c>
      <c r="S33" s="37">
        <v>0.18412000000000001</v>
      </c>
      <c r="T33" s="37">
        <v>0</v>
      </c>
      <c r="U33" s="37" t="s">
        <v>187</v>
      </c>
      <c r="V33" s="37" t="s">
        <v>183</v>
      </c>
      <c r="W33" s="37" t="s">
        <v>183</v>
      </c>
      <c r="X33" s="37" t="s">
        <v>188</v>
      </c>
      <c r="Y33" s="37" t="s">
        <v>266</v>
      </c>
      <c r="Z33" s="37" t="s">
        <v>97</v>
      </c>
      <c r="AA33" s="37" t="s">
        <v>184</v>
      </c>
      <c r="AB33" s="33" t="s">
        <v>97</v>
      </c>
      <c r="AC33" s="33" t="s">
        <v>184</v>
      </c>
      <c r="AD33" s="33" t="s">
        <v>184</v>
      </c>
      <c r="AE33" s="33" t="s">
        <v>184</v>
      </c>
      <c r="AF33" s="33" t="s">
        <v>184</v>
      </c>
      <c r="AG33" s="33" t="s">
        <v>184</v>
      </c>
      <c r="AH33" s="33" t="s">
        <v>184</v>
      </c>
      <c r="AI33" s="33" t="s">
        <v>299</v>
      </c>
      <c r="AJ33" s="31" t="s">
        <v>323</v>
      </c>
    </row>
    <row r="34" spans="1:36" ht="88">
      <c r="A34" s="33">
        <v>4</v>
      </c>
      <c r="B34" s="33">
        <v>38810975</v>
      </c>
      <c r="C34" s="40" t="s">
        <v>87</v>
      </c>
      <c r="D34" s="40" t="s">
        <v>56</v>
      </c>
      <c r="E34" s="33" t="s">
        <v>32</v>
      </c>
      <c r="F34" s="33" t="s">
        <v>180</v>
      </c>
      <c r="G34" s="33" t="s">
        <v>43</v>
      </c>
      <c r="H34" s="33" t="s">
        <v>23</v>
      </c>
      <c r="I34" s="33" t="s">
        <v>49</v>
      </c>
      <c r="J34" s="35" t="s">
        <v>24</v>
      </c>
      <c r="K34" s="35" t="s">
        <v>222</v>
      </c>
      <c r="L34" s="39">
        <v>5.3999999999999997E-23</v>
      </c>
      <c r="M34" s="35" t="s">
        <v>223</v>
      </c>
      <c r="N34" s="36" t="s">
        <v>97</v>
      </c>
      <c r="O34" s="36" t="s">
        <v>183</v>
      </c>
      <c r="P34" s="36" t="s">
        <v>183</v>
      </c>
      <c r="Q34" s="36" t="s">
        <v>183</v>
      </c>
      <c r="R34" s="37">
        <v>5</v>
      </c>
      <c r="S34" s="37">
        <v>0.91017000000000003</v>
      </c>
      <c r="T34" s="37">
        <v>5</v>
      </c>
      <c r="U34" s="37" t="s">
        <v>183</v>
      </c>
      <c r="V34" s="37" t="s">
        <v>183</v>
      </c>
      <c r="W34" s="37" t="s">
        <v>183</v>
      </c>
      <c r="X34" s="37" t="s">
        <v>183</v>
      </c>
      <c r="Y34" s="37" t="s">
        <v>183</v>
      </c>
      <c r="Z34" s="37" t="s">
        <v>183</v>
      </c>
      <c r="AA34" s="37" t="s">
        <v>184</v>
      </c>
      <c r="AB34" s="33" t="s">
        <v>97</v>
      </c>
      <c r="AC34" s="33" t="s">
        <v>184</v>
      </c>
      <c r="AD34" s="33" t="s">
        <v>184</v>
      </c>
      <c r="AE34" s="33" t="s">
        <v>184</v>
      </c>
      <c r="AF34" s="33" t="s">
        <v>184</v>
      </c>
      <c r="AG34" s="33" t="s">
        <v>184</v>
      </c>
      <c r="AH34" s="33" t="s">
        <v>184</v>
      </c>
      <c r="AI34" s="33" t="s">
        <v>302</v>
      </c>
      <c r="AJ34" s="31" t="s">
        <v>324</v>
      </c>
    </row>
    <row r="35" spans="1:36" ht="88">
      <c r="A35" s="33">
        <v>4</v>
      </c>
      <c r="B35" s="33">
        <v>38811529</v>
      </c>
      <c r="C35" s="40" t="s">
        <v>88</v>
      </c>
      <c r="D35" s="40" t="s">
        <v>56</v>
      </c>
      <c r="E35" s="33" t="s">
        <v>47</v>
      </c>
      <c r="F35" s="33" t="s">
        <v>200</v>
      </c>
      <c r="G35" s="33" t="s">
        <v>23</v>
      </c>
      <c r="H35" s="33" t="s">
        <v>30</v>
      </c>
      <c r="I35" s="33" t="s">
        <v>93</v>
      </c>
      <c r="J35" s="35" t="s">
        <v>24</v>
      </c>
      <c r="K35" s="35" t="s">
        <v>56</v>
      </c>
      <c r="L35" s="39">
        <v>5.3999999999999997E-23</v>
      </c>
      <c r="M35" s="35" t="s">
        <v>223</v>
      </c>
      <c r="N35" s="36" t="s">
        <v>97</v>
      </c>
      <c r="O35" s="36" t="s">
        <v>183</v>
      </c>
      <c r="P35" s="36" t="s">
        <v>183</v>
      </c>
      <c r="Q35" s="36" t="s">
        <v>183</v>
      </c>
      <c r="R35" s="37">
        <v>5</v>
      </c>
      <c r="S35" s="37">
        <v>0.58955000000000002</v>
      </c>
      <c r="T35" s="37">
        <v>1</v>
      </c>
      <c r="U35" s="37" t="s">
        <v>183</v>
      </c>
      <c r="V35" s="37" t="s">
        <v>183</v>
      </c>
      <c r="W35" s="37" t="s">
        <v>183</v>
      </c>
      <c r="X35" s="37" t="s">
        <v>183</v>
      </c>
      <c r="Y35" s="37" t="s">
        <v>183</v>
      </c>
      <c r="Z35" s="37" t="s">
        <v>183</v>
      </c>
      <c r="AA35" s="37" t="s">
        <v>184</v>
      </c>
      <c r="AB35" s="33" t="s">
        <v>97</v>
      </c>
      <c r="AC35" s="33" t="s">
        <v>184</v>
      </c>
      <c r="AD35" s="33" t="s">
        <v>184</v>
      </c>
      <c r="AE35" s="33" t="s">
        <v>184</v>
      </c>
      <c r="AF35" s="33" t="s">
        <v>184</v>
      </c>
      <c r="AG35" s="33" t="s">
        <v>184</v>
      </c>
      <c r="AH35" s="33" t="s">
        <v>184</v>
      </c>
      <c r="AI35" s="33" t="s">
        <v>302</v>
      </c>
      <c r="AJ35" s="31" t="s">
        <v>324</v>
      </c>
    </row>
    <row r="36" spans="1:36" ht="88">
      <c r="A36" s="33">
        <v>4</v>
      </c>
      <c r="B36" s="33">
        <v>38811668</v>
      </c>
      <c r="C36" s="40" t="s">
        <v>89</v>
      </c>
      <c r="D36" s="40" t="s">
        <v>56</v>
      </c>
      <c r="E36" s="33" t="s">
        <v>47</v>
      </c>
      <c r="F36" s="33" t="s">
        <v>200</v>
      </c>
      <c r="G36" s="33" t="s">
        <v>21</v>
      </c>
      <c r="H36" s="33" t="s">
        <v>30</v>
      </c>
      <c r="I36" s="33" t="s">
        <v>39</v>
      </c>
      <c r="J36" s="35" t="s">
        <v>24</v>
      </c>
      <c r="K36" s="35" t="s">
        <v>56</v>
      </c>
      <c r="L36" s="39">
        <v>5.3999999999999997E-23</v>
      </c>
      <c r="M36" s="35" t="s">
        <v>223</v>
      </c>
      <c r="N36" s="36" t="s">
        <v>97</v>
      </c>
      <c r="O36" s="36" t="s">
        <v>183</v>
      </c>
      <c r="P36" s="36" t="s">
        <v>183</v>
      </c>
      <c r="Q36" s="36" t="s">
        <v>183</v>
      </c>
      <c r="R36" s="37" t="s">
        <v>186</v>
      </c>
      <c r="S36" s="37">
        <v>0.84691000000000005</v>
      </c>
      <c r="T36" s="37">
        <v>4</v>
      </c>
      <c r="U36" s="37" t="s">
        <v>187</v>
      </c>
      <c r="V36" s="37" t="s">
        <v>183</v>
      </c>
      <c r="W36" s="37" t="s">
        <v>183</v>
      </c>
      <c r="X36" s="37" t="s">
        <v>188</v>
      </c>
      <c r="Y36" s="37" t="s">
        <v>262</v>
      </c>
      <c r="Z36" s="37" t="s">
        <v>24</v>
      </c>
      <c r="AA36" s="37" t="s">
        <v>267</v>
      </c>
      <c r="AB36" s="33" t="s">
        <v>97</v>
      </c>
      <c r="AC36" s="33" t="s">
        <v>184</v>
      </c>
      <c r="AD36" s="33" t="s">
        <v>184</v>
      </c>
      <c r="AE36" s="33" t="s">
        <v>184</v>
      </c>
      <c r="AF36" s="33" t="s">
        <v>184</v>
      </c>
      <c r="AG36" s="33" t="s">
        <v>184</v>
      </c>
      <c r="AH36" s="33" t="s">
        <v>184</v>
      </c>
      <c r="AI36" s="33" t="s">
        <v>302</v>
      </c>
      <c r="AJ36" s="31" t="s">
        <v>312</v>
      </c>
    </row>
    <row r="37" spans="1:36" ht="32">
      <c r="A37" s="33">
        <v>4</v>
      </c>
      <c r="B37" s="33">
        <v>38811845</v>
      </c>
      <c r="C37" s="40" t="s">
        <v>90</v>
      </c>
      <c r="D37" s="40" t="s">
        <v>56</v>
      </c>
      <c r="E37" s="33" t="s">
        <v>47</v>
      </c>
      <c r="F37" s="33" t="s">
        <v>200</v>
      </c>
      <c r="G37" s="33" t="s">
        <v>21</v>
      </c>
      <c r="H37" s="33" t="s">
        <v>43</v>
      </c>
      <c r="I37" s="33" t="s">
        <v>91</v>
      </c>
      <c r="J37" s="35" t="s">
        <v>97</v>
      </c>
      <c r="K37" s="35" t="s">
        <v>181</v>
      </c>
      <c r="L37" s="35" t="s">
        <v>182</v>
      </c>
      <c r="M37" s="35" t="s">
        <v>182</v>
      </c>
      <c r="N37" s="36" t="s">
        <v>97</v>
      </c>
      <c r="O37" s="36" t="s">
        <v>183</v>
      </c>
      <c r="P37" s="36" t="s">
        <v>183</v>
      </c>
      <c r="Q37" s="36" t="s">
        <v>183</v>
      </c>
      <c r="R37" s="37">
        <v>7</v>
      </c>
      <c r="S37" s="37">
        <v>0.18412000000000001</v>
      </c>
      <c r="T37" s="37">
        <v>0</v>
      </c>
      <c r="U37" s="37" t="s">
        <v>183</v>
      </c>
      <c r="V37" s="37" t="s">
        <v>183</v>
      </c>
      <c r="W37" s="37" t="s">
        <v>183</v>
      </c>
      <c r="X37" s="37" t="s">
        <v>183</v>
      </c>
      <c r="Y37" s="37" t="s">
        <v>183</v>
      </c>
      <c r="Z37" s="37" t="s">
        <v>183</v>
      </c>
      <c r="AA37" s="37" t="s">
        <v>184</v>
      </c>
      <c r="AB37" s="33" t="s">
        <v>97</v>
      </c>
      <c r="AC37" s="33" t="s">
        <v>184</v>
      </c>
      <c r="AD37" s="33" t="s">
        <v>184</v>
      </c>
      <c r="AE37" s="33" t="s">
        <v>184</v>
      </c>
      <c r="AF37" s="33" t="s">
        <v>184</v>
      </c>
      <c r="AG37" s="33" t="s">
        <v>184</v>
      </c>
      <c r="AH37" s="33" t="s">
        <v>184</v>
      </c>
      <c r="AI37" s="33" t="s">
        <v>303</v>
      </c>
      <c r="AJ37" s="31" t="s">
        <v>305</v>
      </c>
    </row>
    <row r="38" spans="1:36" ht="88">
      <c r="A38" s="33">
        <v>4</v>
      </c>
      <c r="B38" s="33">
        <v>38812116</v>
      </c>
      <c r="C38" s="40" t="s">
        <v>92</v>
      </c>
      <c r="D38" s="40" t="s">
        <v>56</v>
      </c>
      <c r="E38" s="33" t="s">
        <v>47</v>
      </c>
      <c r="F38" s="33" t="s">
        <v>200</v>
      </c>
      <c r="G38" s="33" t="s">
        <v>23</v>
      </c>
      <c r="H38" s="33" t="s">
        <v>30</v>
      </c>
      <c r="I38" s="33" t="s">
        <v>93</v>
      </c>
      <c r="J38" s="35" t="s">
        <v>24</v>
      </c>
      <c r="K38" s="35" t="s">
        <v>56</v>
      </c>
      <c r="L38" s="39">
        <v>5.3999999999999997E-23</v>
      </c>
      <c r="M38" s="35" t="s">
        <v>223</v>
      </c>
      <c r="N38" s="36" t="s">
        <v>97</v>
      </c>
      <c r="O38" s="36" t="s">
        <v>183</v>
      </c>
      <c r="P38" s="36" t="s">
        <v>183</v>
      </c>
      <c r="Q38" s="36"/>
      <c r="R38" s="37">
        <v>5</v>
      </c>
      <c r="S38" s="37">
        <v>0.69</v>
      </c>
      <c r="T38" s="37">
        <v>6</v>
      </c>
      <c r="U38" s="37" t="s">
        <v>183</v>
      </c>
      <c r="V38" s="37" t="s">
        <v>183</v>
      </c>
      <c r="W38" s="37" t="s">
        <v>183</v>
      </c>
      <c r="X38" s="37" t="s">
        <v>183</v>
      </c>
      <c r="Y38" s="37" t="s">
        <v>183</v>
      </c>
      <c r="Z38" s="37" t="s">
        <v>183</v>
      </c>
      <c r="AA38" s="37" t="s">
        <v>184</v>
      </c>
      <c r="AB38" s="33" t="s">
        <v>97</v>
      </c>
      <c r="AC38" s="33" t="s">
        <v>184</v>
      </c>
      <c r="AD38" s="33" t="s">
        <v>184</v>
      </c>
      <c r="AE38" s="33" t="s">
        <v>184</v>
      </c>
      <c r="AF38" s="33" t="s">
        <v>184</v>
      </c>
      <c r="AG38" s="33" t="s">
        <v>184</v>
      </c>
      <c r="AH38" s="33" t="s">
        <v>184</v>
      </c>
      <c r="AI38" s="33" t="s">
        <v>302</v>
      </c>
      <c r="AJ38" s="31" t="s">
        <v>324</v>
      </c>
    </row>
    <row r="39" spans="1:36" ht="88">
      <c r="A39" s="33">
        <v>4</v>
      </c>
      <c r="B39" s="33">
        <v>38812537</v>
      </c>
      <c r="C39" s="40" t="s">
        <v>94</v>
      </c>
      <c r="D39" s="40" t="s">
        <v>56</v>
      </c>
      <c r="E39" s="33" t="s">
        <v>47</v>
      </c>
      <c r="F39" s="33" t="s">
        <v>200</v>
      </c>
      <c r="G39" s="33" t="s">
        <v>30</v>
      </c>
      <c r="H39" s="33" t="s">
        <v>21</v>
      </c>
      <c r="I39" s="33" t="s">
        <v>60</v>
      </c>
      <c r="J39" s="35" t="s">
        <v>24</v>
      </c>
      <c r="K39" s="35" t="s">
        <v>56</v>
      </c>
      <c r="L39" s="39">
        <v>5.3999999999999997E-23</v>
      </c>
      <c r="M39" s="35" t="s">
        <v>223</v>
      </c>
      <c r="N39" s="36" t="s">
        <v>97</v>
      </c>
      <c r="O39" s="36" t="s">
        <v>183</v>
      </c>
      <c r="P39" s="36" t="s">
        <v>183</v>
      </c>
      <c r="Q39" s="36" t="s">
        <v>183</v>
      </c>
      <c r="R39" s="37">
        <v>5</v>
      </c>
      <c r="S39" s="37">
        <v>0.13453999999999999</v>
      </c>
      <c r="T39" s="37">
        <v>4</v>
      </c>
      <c r="U39" s="37" t="s">
        <v>183</v>
      </c>
      <c r="V39" s="37" t="s">
        <v>183</v>
      </c>
      <c r="W39" s="37" t="s">
        <v>183</v>
      </c>
      <c r="X39" s="37" t="s">
        <v>183</v>
      </c>
      <c r="Y39" s="37" t="s">
        <v>183</v>
      </c>
      <c r="Z39" s="37" t="s">
        <v>183</v>
      </c>
      <c r="AA39" s="37" t="s">
        <v>184</v>
      </c>
      <c r="AB39" s="33" t="s">
        <v>97</v>
      </c>
      <c r="AC39" s="33" t="s">
        <v>184</v>
      </c>
      <c r="AD39" s="33" t="s">
        <v>184</v>
      </c>
      <c r="AE39" s="33" t="s">
        <v>184</v>
      </c>
      <c r="AF39" s="33" t="s">
        <v>184</v>
      </c>
      <c r="AG39" s="33" t="s">
        <v>184</v>
      </c>
      <c r="AH39" s="33" t="s">
        <v>184</v>
      </c>
      <c r="AI39" s="33" t="s">
        <v>302</v>
      </c>
      <c r="AJ39" s="31" t="s">
        <v>324</v>
      </c>
    </row>
    <row r="40" spans="1:36" ht="88">
      <c r="A40" s="33">
        <v>4</v>
      </c>
      <c r="B40" s="33">
        <v>38814700</v>
      </c>
      <c r="C40" s="40" t="s">
        <v>95</v>
      </c>
      <c r="D40" s="40" t="s">
        <v>56</v>
      </c>
      <c r="E40" s="33" t="s">
        <v>47</v>
      </c>
      <c r="F40" s="33" t="s">
        <v>200</v>
      </c>
      <c r="G40" s="33" t="s">
        <v>30</v>
      </c>
      <c r="H40" s="33" t="s">
        <v>21</v>
      </c>
      <c r="I40" s="33" t="s">
        <v>60</v>
      </c>
      <c r="J40" s="35" t="s">
        <v>24</v>
      </c>
      <c r="K40" s="35" t="s">
        <v>56</v>
      </c>
      <c r="L40" s="39">
        <v>2.0000000000000001E-22</v>
      </c>
      <c r="M40" s="35" t="s">
        <v>223</v>
      </c>
      <c r="N40" s="36" t="s">
        <v>97</v>
      </c>
      <c r="O40" s="36" t="s">
        <v>183</v>
      </c>
      <c r="P40" s="36" t="s">
        <v>183</v>
      </c>
      <c r="Q40" s="36" t="s">
        <v>183</v>
      </c>
      <c r="R40" s="37">
        <v>5</v>
      </c>
      <c r="S40" s="37">
        <v>0.13453999999999999</v>
      </c>
      <c r="T40" s="37">
        <v>1</v>
      </c>
      <c r="U40" s="37" t="s">
        <v>183</v>
      </c>
      <c r="V40" s="37" t="s">
        <v>183</v>
      </c>
      <c r="W40" s="37" t="s">
        <v>183</v>
      </c>
      <c r="X40" s="37" t="s">
        <v>183</v>
      </c>
      <c r="Y40" s="37" t="s">
        <v>183</v>
      </c>
      <c r="Z40" s="37" t="s">
        <v>183</v>
      </c>
      <c r="AA40" s="37" t="s">
        <v>184</v>
      </c>
      <c r="AB40" s="33" t="s">
        <v>97</v>
      </c>
      <c r="AC40" s="33" t="s">
        <v>184</v>
      </c>
      <c r="AD40" s="33" t="s">
        <v>184</v>
      </c>
      <c r="AE40" s="33" t="s">
        <v>184</v>
      </c>
      <c r="AF40" s="33" t="s">
        <v>184</v>
      </c>
      <c r="AG40" s="33" t="s">
        <v>184</v>
      </c>
      <c r="AH40" s="33" t="s">
        <v>184</v>
      </c>
      <c r="AI40" s="33" t="s">
        <v>302</v>
      </c>
      <c r="AJ40" s="31" t="s">
        <v>324</v>
      </c>
    </row>
    <row r="41" spans="1:36" ht="64">
      <c r="A41" s="33">
        <v>4</v>
      </c>
      <c r="B41" s="33">
        <v>38833173</v>
      </c>
      <c r="C41" s="42" t="s">
        <v>100</v>
      </c>
      <c r="D41" s="42" t="s">
        <v>98</v>
      </c>
      <c r="E41" s="33" t="s">
        <v>47</v>
      </c>
      <c r="F41" s="33" t="s">
        <v>200</v>
      </c>
      <c r="G41" s="33" t="s">
        <v>30</v>
      </c>
      <c r="H41" s="33" t="s">
        <v>23</v>
      </c>
      <c r="I41" s="33" t="s">
        <v>101</v>
      </c>
      <c r="J41" s="35" t="s">
        <v>97</v>
      </c>
      <c r="K41" s="35" t="s">
        <v>181</v>
      </c>
      <c r="L41" s="35" t="s">
        <v>182</v>
      </c>
      <c r="M41" s="35" t="s">
        <v>182</v>
      </c>
      <c r="N41" s="36" t="s">
        <v>97</v>
      </c>
      <c r="O41" s="36" t="s">
        <v>183</v>
      </c>
      <c r="P41" s="36" t="s">
        <v>183</v>
      </c>
      <c r="Q41" s="36" t="s">
        <v>183</v>
      </c>
      <c r="R41" s="37">
        <v>7</v>
      </c>
      <c r="S41" s="37">
        <v>0.18412000000000001</v>
      </c>
      <c r="T41" s="37">
        <v>0</v>
      </c>
      <c r="U41" s="37" t="s">
        <v>183</v>
      </c>
      <c r="V41" s="37" t="s">
        <v>183</v>
      </c>
      <c r="W41" s="37" t="s">
        <v>183</v>
      </c>
      <c r="X41" s="37" t="s">
        <v>183</v>
      </c>
      <c r="Y41" s="37" t="s">
        <v>183</v>
      </c>
      <c r="Z41" s="37" t="s">
        <v>183</v>
      </c>
      <c r="AA41" s="37" t="s">
        <v>184</v>
      </c>
      <c r="AB41" s="33" t="s">
        <v>24</v>
      </c>
      <c r="AC41" s="31" t="s">
        <v>268</v>
      </c>
      <c r="AD41" s="31" t="s">
        <v>269</v>
      </c>
      <c r="AE41" s="31" t="s">
        <v>270</v>
      </c>
      <c r="AF41" s="31" t="s">
        <v>271</v>
      </c>
      <c r="AG41" s="31" t="s">
        <v>272</v>
      </c>
      <c r="AH41" s="31" t="s">
        <v>273</v>
      </c>
      <c r="AI41" s="33" t="s">
        <v>302</v>
      </c>
      <c r="AJ41" s="31" t="s">
        <v>325</v>
      </c>
    </row>
    <row r="42" spans="1:36" ht="32">
      <c r="A42" s="33">
        <v>4</v>
      </c>
      <c r="B42" s="33">
        <v>38835702</v>
      </c>
      <c r="C42" s="42" t="s">
        <v>102</v>
      </c>
      <c r="D42" s="42" t="s">
        <v>98</v>
      </c>
      <c r="E42" s="33" t="s">
        <v>47</v>
      </c>
      <c r="F42" s="33" t="s">
        <v>200</v>
      </c>
      <c r="G42" s="33" t="s">
        <v>23</v>
      </c>
      <c r="H42" s="33" t="s">
        <v>43</v>
      </c>
      <c r="I42" s="33" t="s">
        <v>53</v>
      </c>
      <c r="J42" s="35" t="s">
        <v>97</v>
      </c>
      <c r="K42" s="35" t="s">
        <v>181</v>
      </c>
      <c r="L42" s="35" t="s">
        <v>182</v>
      </c>
      <c r="M42" s="35" t="s">
        <v>182</v>
      </c>
      <c r="N42" s="36" t="s">
        <v>97</v>
      </c>
      <c r="O42" s="36" t="s">
        <v>183</v>
      </c>
      <c r="P42" s="36" t="s">
        <v>183</v>
      </c>
      <c r="Q42" s="36" t="s">
        <v>183</v>
      </c>
      <c r="R42" s="37">
        <v>6</v>
      </c>
      <c r="S42" s="37">
        <v>0.16345999999999999</v>
      </c>
      <c r="T42" s="37">
        <v>9</v>
      </c>
      <c r="U42" s="37" t="s">
        <v>183</v>
      </c>
      <c r="V42" s="37" t="s">
        <v>183</v>
      </c>
      <c r="W42" s="37" t="s">
        <v>183</v>
      </c>
      <c r="X42" s="37" t="s">
        <v>183</v>
      </c>
      <c r="Y42" s="37" t="s">
        <v>183</v>
      </c>
      <c r="Z42" s="37" t="s">
        <v>183</v>
      </c>
      <c r="AA42" s="37" t="s">
        <v>184</v>
      </c>
      <c r="AB42" s="33" t="s">
        <v>97</v>
      </c>
      <c r="AC42" s="33" t="s">
        <v>184</v>
      </c>
      <c r="AD42" s="33" t="s">
        <v>184</v>
      </c>
      <c r="AE42" s="33" t="s">
        <v>184</v>
      </c>
      <c r="AF42" s="33" t="s">
        <v>184</v>
      </c>
      <c r="AG42" s="33" t="s">
        <v>184</v>
      </c>
      <c r="AH42" s="33" t="s">
        <v>184</v>
      </c>
      <c r="AI42" s="33" t="s">
        <v>303</v>
      </c>
      <c r="AJ42" s="31" t="s">
        <v>305</v>
      </c>
    </row>
    <row r="43" spans="1:36" ht="32">
      <c r="A43" s="33">
        <v>4</v>
      </c>
      <c r="B43" s="33">
        <v>38836071</v>
      </c>
      <c r="C43" s="42" t="s">
        <v>103</v>
      </c>
      <c r="D43" s="42" t="s">
        <v>98</v>
      </c>
      <c r="E43" s="33" t="s">
        <v>47</v>
      </c>
      <c r="F43" s="33" t="s">
        <v>200</v>
      </c>
      <c r="G43" s="33" t="s">
        <v>21</v>
      </c>
      <c r="H43" s="33" t="s">
        <v>30</v>
      </c>
      <c r="I43" s="33" t="s">
        <v>39</v>
      </c>
      <c r="J43" s="35" t="s">
        <v>97</v>
      </c>
      <c r="K43" s="35" t="s">
        <v>181</v>
      </c>
      <c r="L43" s="35" t="s">
        <v>182</v>
      </c>
      <c r="M43" s="35" t="s">
        <v>182</v>
      </c>
      <c r="N43" s="36" t="s">
        <v>97</v>
      </c>
      <c r="O43" s="36" t="s">
        <v>183</v>
      </c>
      <c r="P43" s="36" t="s">
        <v>183</v>
      </c>
      <c r="Q43" s="36" t="s">
        <v>183</v>
      </c>
      <c r="R43" s="37">
        <v>5</v>
      </c>
      <c r="S43" s="37">
        <v>0.58955000000000002</v>
      </c>
      <c r="T43" s="37">
        <v>1</v>
      </c>
      <c r="U43" s="37" t="s">
        <v>183</v>
      </c>
      <c r="V43" s="37" t="s">
        <v>183</v>
      </c>
      <c r="W43" s="37" t="s">
        <v>183</v>
      </c>
      <c r="X43" s="37" t="s">
        <v>183</v>
      </c>
      <c r="Y43" s="37" t="s">
        <v>183</v>
      </c>
      <c r="Z43" s="37" t="s">
        <v>183</v>
      </c>
      <c r="AA43" s="37" t="s">
        <v>184</v>
      </c>
      <c r="AB43" s="33" t="s">
        <v>97</v>
      </c>
      <c r="AC43" s="33" t="s">
        <v>184</v>
      </c>
      <c r="AD43" s="33" t="s">
        <v>184</v>
      </c>
      <c r="AE43" s="33" t="s">
        <v>184</v>
      </c>
      <c r="AF43" s="33" t="s">
        <v>184</v>
      </c>
      <c r="AG43" s="33" t="s">
        <v>184</v>
      </c>
      <c r="AH43" s="33" t="s">
        <v>184</v>
      </c>
      <c r="AI43" s="33" t="s">
        <v>303</v>
      </c>
      <c r="AJ43" s="31" t="s">
        <v>305</v>
      </c>
    </row>
    <row r="44" spans="1:36" ht="48">
      <c r="A44" s="33">
        <v>4</v>
      </c>
      <c r="B44" s="33">
        <v>38871385</v>
      </c>
      <c r="C44" s="43" t="s">
        <v>114</v>
      </c>
      <c r="D44" s="43" t="s">
        <v>115</v>
      </c>
      <c r="E44" s="33" t="s">
        <v>47</v>
      </c>
      <c r="F44" s="33" t="s">
        <v>200</v>
      </c>
      <c r="G44" s="33" t="s">
        <v>23</v>
      </c>
      <c r="H44" s="33" t="s">
        <v>43</v>
      </c>
      <c r="I44" s="33" t="s">
        <v>53</v>
      </c>
      <c r="J44" s="35" t="s">
        <v>97</v>
      </c>
      <c r="K44" s="35" t="s">
        <v>181</v>
      </c>
      <c r="L44" s="35" t="s">
        <v>182</v>
      </c>
      <c r="M44" s="35" t="s">
        <v>182</v>
      </c>
      <c r="N44" s="36" t="s">
        <v>97</v>
      </c>
      <c r="O44" s="36" t="s">
        <v>183</v>
      </c>
      <c r="P44" s="36" t="s">
        <v>183</v>
      </c>
      <c r="Q44" s="36" t="s">
        <v>183</v>
      </c>
      <c r="R44" s="37">
        <v>4</v>
      </c>
      <c r="S44" s="37">
        <v>0.60906000000000005</v>
      </c>
      <c r="T44" s="37">
        <v>49</v>
      </c>
      <c r="U44" s="37" t="s">
        <v>187</v>
      </c>
      <c r="V44" s="37" t="s">
        <v>183</v>
      </c>
      <c r="W44" s="37" t="s">
        <v>183</v>
      </c>
      <c r="X44" s="37" t="s">
        <v>274</v>
      </c>
      <c r="Y44" s="37" t="s">
        <v>275</v>
      </c>
      <c r="Z44" s="37" t="s">
        <v>24</v>
      </c>
      <c r="AA44" s="37" t="s">
        <v>276</v>
      </c>
      <c r="AB44" s="33" t="s">
        <v>97</v>
      </c>
      <c r="AC44" s="33" t="s">
        <v>184</v>
      </c>
      <c r="AD44" s="33" t="s">
        <v>184</v>
      </c>
      <c r="AE44" s="33" t="s">
        <v>184</v>
      </c>
      <c r="AF44" s="33" t="s">
        <v>184</v>
      </c>
      <c r="AG44" s="33" t="s">
        <v>184</v>
      </c>
      <c r="AH44" s="33" t="s">
        <v>184</v>
      </c>
      <c r="AI44" s="33" t="s">
        <v>302</v>
      </c>
      <c r="AJ44" s="31" t="s">
        <v>326</v>
      </c>
    </row>
    <row r="45" spans="1:36" ht="32">
      <c r="A45" s="33">
        <v>4</v>
      </c>
      <c r="B45" s="33">
        <v>38881761</v>
      </c>
      <c r="C45" s="43" t="s">
        <v>119</v>
      </c>
      <c r="D45" s="43" t="s">
        <v>115</v>
      </c>
      <c r="E45" s="33" t="s">
        <v>47</v>
      </c>
      <c r="F45" s="33" t="s">
        <v>200</v>
      </c>
      <c r="G45" s="33" t="s">
        <v>21</v>
      </c>
      <c r="H45" s="33" t="s">
        <v>30</v>
      </c>
      <c r="I45" s="33" t="s">
        <v>39</v>
      </c>
      <c r="J45" s="35" t="s">
        <v>97</v>
      </c>
      <c r="K45" s="35" t="s">
        <v>181</v>
      </c>
      <c r="L45" s="35" t="s">
        <v>182</v>
      </c>
      <c r="M45" s="35" t="s">
        <v>182</v>
      </c>
      <c r="N45" s="36" t="s">
        <v>97</v>
      </c>
      <c r="O45" s="36" t="s">
        <v>183</v>
      </c>
      <c r="P45" s="36" t="s">
        <v>183</v>
      </c>
      <c r="Q45" s="36" t="s">
        <v>183</v>
      </c>
      <c r="R45" s="37">
        <v>6</v>
      </c>
      <c r="S45" s="37">
        <v>0.34711999999999998</v>
      </c>
      <c r="T45" s="37">
        <v>3</v>
      </c>
      <c r="U45" s="37" t="s">
        <v>183</v>
      </c>
      <c r="V45" s="37" t="s">
        <v>183</v>
      </c>
      <c r="W45" s="37" t="s">
        <v>183</v>
      </c>
      <c r="X45" s="37" t="s">
        <v>183</v>
      </c>
      <c r="Y45" s="37" t="s">
        <v>183</v>
      </c>
      <c r="Z45" s="37" t="s">
        <v>183</v>
      </c>
      <c r="AA45" s="37" t="s">
        <v>184</v>
      </c>
      <c r="AB45" s="33" t="s">
        <v>97</v>
      </c>
      <c r="AC45" s="33" t="s">
        <v>184</v>
      </c>
      <c r="AD45" s="33" t="s">
        <v>184</v>
      </c>
      <c r="AE45" s="33" t="s">
        <v>184</v>
      </c>
      <c r="AF45" s="33" t="s">
        <v>184</v>
      </c>
      <c r="AG45" s="33" t="s">
        <v>184</v>
      </c>
      <c r="AH45" s="33" t="s">
        <v>184</v>
      </c>
      <c r="AI45" s="33" t="s">
        <v>303</v>
      </c>
      <c r="AJ45" s="31" t="s">
        <v>305</v>
      </c>
    </row>
    <row r="46" spans="1:36" ht="32">
      <c r="A46" s="33">
        <v>4</v>
      </c>
      <c r="B46" s="33">
        <v>38881766</v>
      </c>
      <c r="C46" s="43" t="s">
        <v>120</v>
      </c>
      <c r="D46" s="43" t="s">
        <v>115</v>
      </c>
      <c r="E46" s="33" t="s">
        <v>47</v>
      </c>
      <c r="F46" s="33" t="s">
        <v>200</v>
      </c>
      <c r="G46" s="33" t="s">
        <v>21</v>
      </c>
      <c r="H46" s="33" t="s">
        <v>30</v>
      </c>
      <c r="I46" s="33" t="s">
        <v>39</v>
      </c>
      <c r="J46" s="35" t="s">
        <v>97</v>
      </c>
      <c r="K46" s="35" t="s">
        <v>181</v>
      </c>
      <c r="L46" s="35" t="s">
        <v>182</v>
      </c>
      <c r="M46" s="35" t="s">
        <v>182</v>
      </c>
      <c r="N46" s="36" t="s">
        <v>97</v>
      </c>
      <c r="O46" s="36" t="s">
        <v>183</v>
      </c>
      <c r="P46" s="36" t="s">
        <v>183</v>
      </c>
      <c r="Q46" s="36" t="s">
        <v>183</v>
      </c>
      <c r="R46" s="37">
        <v>6</v>
      </c>
      <c r="S46" s="37">
        <v>0.34711999999999998</v>
      </c>
      <c r="T46" s="37">
        <v>3</v>
      </c>
      <c r="U46" s="37" t="s">
        <v>183</v>
      </c>
      <c r="V46" s="37" t="s">
        <v>183</v>
      </c>
      <c r="W46" s="37" t="s">
        <v>183</v>
      </c>
      <c r="X46" s="37" t="s">
        <v>183</v>
      </c>
      <c r="Y46" s="37" t="s">
        <v>183</v>
      </c>
      <c r="Z46" s="37" t="s">
        <v>183</v>
      </c>
      <c r="AA46" s="37" t="s">
        <v>184</v>
      </c>
      <c r="AB46" s="33" t="s">
        <v>97</v>
      </c>
      <c r="AC46" s="33" t="s">
        <v>184</v>
      </c>
      <c r="AD46" s="33" t="s">
        <v>184</v>
      </c>
      <c r="AE46" s="33" t="s">
        <v>184</v>
      </c>
      <c r="AF46" s="33" t="s">
        <v>184</v>
      </c>
      <c r="AG46" s="33" t="s">
        <v>184</v>
      </c>
      <c r="AH46" s="33" t="s">
        <v>184</v>
      </c>
      <c r="AI46" s="33" t="s">
        <v>303</v>
      </c>
      <c r="AJ46" s="31" t="s">
        <v>305</v>
      </c>
    </row>
    <row r="47" spans="1:36" ht="32">
      <c r="A47" s="33">
        <v>4</v>
      </c>
      <c r="B47" s="33">
        <v>38881773</v>
      </c>
      <c r="C47" s="43" t="s">
        <v>121</v>
      </c>
      <c r="D47" s="43" t="s">
        <v>115</v>
      </c>
      <c r="E47" s="33" t="s">
        <v>47</v>
      </c>
      <c r="F47" s="33" t="s">
        <v>200</v>
      </c>
      <c r="G47" s="33" t="s">
        <v>30</v>
      </c>
      <c r="H47" s="33" t="s">
        <v>21</v>
      </c>
      <c r="I47" s="33" t="s">
        <v>60</v>
      </c>
      <c r="J47" s="35" t="s">
        <v>97</v>
      </c>
      <c r="K47" s="35" t="s">
        <v>181</v>
      </c>
      <c r="L47" s="35" t="s">
        <v>182</v>
      </c>
      <c r="M47" s="35" t="s">
        <v>182</v>
      </c>
      <c r="N47" s="36" t="s">
        <v>97</v>
      </c>
      <c r="O47" s="36" t="s">
        <v>183</v>
      </c>
      <c r="P47" s="36" t="s">
        <v>183</v>
      </c>
      <c r="Q47" s="36" t="s">
        <v>183</v>
      </c>
      <c r="R47" s="37">
        <v>6</v>
      </c>
      <c r="S47" s="37">
        <v>0.25985999999999998</v>
      </c>
      <c r="T47" s="37">
        <v>3</v>
      </c>
      <c r="U47" s="37" t="s">
        <v>183</v>
      </c>
      <c r="V47" s="37" t="s">
        <v>183</v>
      </c>
      <c r="W47" s="37" t="s">
        <v>183</v>
      </c>
      <c r="X47" s="37" t="s">
        <v>183</v>
      </c>
      <c r="Y47" s="37" t="s">
        <v>183</v>
      </c>
      <c r="Z47" s="37" t="s">
        <v>183</v>
      </c>
      <c r="AA47" s="37" t="s">
        <v>184</v>
      </c>
      <c r="AB47" s="33" t="s">
        <v>97</v>
      </c>
      <c r="AC47" s="33" t="s">
        <v>184</v>
      </c>
      <c r="AD47" s="33" t="s">
        <v>184</v>
      </c>
      <c r="AE47" s="33" t="s">
        <v>184</v>
      </c>
      <c r="AF47" s="33" t="s">
        <v>184</v>
      </c>
      <c r="AG47" s="33" t="s">
        <v>184</v>
      </c>
      <c r="AH47" s="33" t="s">
        <v>184</v>
      </c>
      <c r="AI47" s="33" t="s">
        <v>303</v>
      </c>
      <c r="AJ47" s="31" t="s">
        <v>305</v>
      </c>
    </row>
    <row r="48" spans="1:36" ht="66">
      <c r="A48" s="33">
        <v>4</v>
      </c>
      <c r="B48" s="33">
        <v>38886420</v>
      </c>
      <c r="C48" s="43" t="s">
        <v>122</v>
      </c>
      <c r="D48" s="43" t="s">
        <v>115</v>
      </c>
      <c r="E48" s="33" t="s">
        <v>47</v>
      </c>
      <c r="F48" s="33" t="s">
        <v>200</v>
      </c>
      <c r="G48" s="33" t="s">
        <v>21</v>
      </c>
      <c r="H48" s="33" t="s">
        <v>30</v>
      </c>
      <c r="I48" s="33" t="s">
        <v>39</v>
      </c>
      <c r="J48" s="35" t="s">
        <v>97</v>
      </c>
      <c r="K48" s="35" t="s">
        <v>181</v>
      </c>
      <c r="L48" s="35" t="s">
        <v>182</v>
      </c>
      <c r="M48" s="35" t="s">
        <v>182</v>
      </c>
      <c r="N48" s="36" t="s">
        <v>24</v>
      </c>
      <c r="O48" s="36" t="s">
        <v>277</v>
      </c>
      <c r="P48" s="36" t="s">
        <v>278</v>
      </c>
      <c r="Q48" s="36" t="s">
        <v>195</v>
      </c>
      <c r="R48" s="37">
        <v>7</v>
      </c>
      <c r="S48" s="37">
        <v>0.51392000000000004</v>
      </c>
      <c r="T48" s="37">
        <v>3</v>
      </c>
      <c r="U48" s="37" t="s">
        <v>183</v>
      </c>
      <c r="V48" s="37" t="s">
        <v>183</v>
      </c>
      <c r="W48" s="37" t="s">
        <v>183</v>
      </c>
      <c r="X48" s="37" t="s">
        <v>183</v>
      </c>
      <c r="Y48" s="37" t="s">
        <v>183</v>
      </c>
      <c r="Z48" s="37" t="s">
        <v>183</v>
      </c>
      <c r="AA48" s="37" t="s">
        <v>184</v>
      </c>
      <c r="AB48" s="33" t="s">
        <v>97</v>
      </c>
      <c r="AC48" s="33" t="s">
        <v>184</v>
      </c>
      <c r="AD48" s="33" t="s">
        <v>184</v>
      </c>
      <c r="AE48" s="33" t="s">
        <v>184</v>
      </c>
      <c r="AF48" s="33" t="s">
        <v>184</v>
      </c>
      <c r="AG48" s="33" t="s">
        <v>184</v>
      </c>
      <c r="AH48" s="33" t="s">
        <v>184</v>
      </c>
      <c r="AI48" s="33" t="s">
        <v>302</v>
      </c>
      <c r="AJ48" s="31" t="s">
        <v>327</v>
      </c>
    </row>
    <row r="49" spans="1:36" ht="48">
      <c r="A49" s="33">
        <v>4</v>
      </c>
      <c r="B49" s="33">
        <v>38892649</v>
      </c>
      <c r="C49" s="43" t="s">
        <v>123</v>
      </c>
      <c r="D49" s="43" t="s">
        <v>115</v>
      </c>
      <c r="E49" s="33" t="s">
        <v>47</v>
      </c>
      <c r="F49" s="33" t="s">
        <v>200</v>
      </c>
      <c r="G49" s="33" t="s">
        <v>23</v>
      </c>
      <c r="H49" s="33" t="s">
        <v>43</v>
      </c>
      <c r="I49" s="33" t="s">
        <v>53</v>
      </c>
      <c r="J49" s="35" t="s">
        <v>97</v>
      </c>
      <c r="K49" s="35" t="s">
        <v>181</v>
      </c>
      <c r="L49" s="35" t="s">
        <v>182</v>
      </c>
      <c r="M49" s="35" t="s">
        <v>182</v>
      </c>
      <c r="N49" s="36" t="s">
        <v>24</v>
      </c>
      <c r="O49" s="36" t="s">
        <v>279</v>
      </c>
      <c r="P49" s="36" t="s">
        <v>194</v>
      </c>
      <c r="Q49" s="36" t="s">
        <v>212</v>
      </c>
      <c r="R49" s="37">
        <v>6</v>
      </c>
      <c r="S49" s="37">
        <v>0.11848</v>
      </c>
      <c r="T49" s="37">
        <v>4</v>
      </c>
      <c r="U49" s="37" t="s">
        <v>183</v>
      </c>
      <c r="V49" s="37" t="s">
        <v>183</v>
      </c>
      <c r="W49" s="37" t="s">
        <v>183</v>
      </c>
      <c r="X49" s="37" t="s">
        <v>183</v>
      </c>
      <c r="Y49" s="37" t="s">
        <v>183</v>
      </c>
      <c r="Z49" s="37" t="s">
        <v>183</v>
      </c>
      <c r="AA49" s="37" t="s">
        <v>184</v>
      </c>
      <c r="AB49" s="33" t="s">
        <v>97</v>
      </c>
      <c r="AC49" s="33" t="s">
        <v>184</v>
      </c>
      <c r="AD49" s="33" t="s">
        <v>184</v>
      </c>
      <c r="AE49" s="33" t="s">
        <v>184</v>
      </c>
      <c r="AF49" s="33" t="s">
        <v>184</v>
      </c>
      <c r="AG49" s="33" t="s">
        <v>184</v>
      </c>
      <c r="AH49" s="33" t="s">
        <v>184</v>
      </c>
      <c r="AI49" s="33" t="s">
        <v>302</v>
      </c>
      <c r="AJ49" s="31" t="s">
        <v>328</v>
      </c>
    </row>
    <row r="50" spans="1:36" ht="64">
      <c r="A50" s="33">
        <v>4</v>
      </c>
      <c r="B50" s="33">
        <v>38905731</v>
      </c>
      <c r="C50" s="43" t="s">
        <v>126</v>
      </c>
      <c r="D50" s="43" t="s">
        <v>115</v>
      </c>
      <c r="E50" s="33" t="s">
        <v>47</v>
      </c>
      <c r="F50" s="33" t="s">
        <v>200</v>
      </c>
      <c r="G50" s="33" t="s">
        <v>23</v>
      </c>
      <c r="H50" s="33" t="s">
        <v>21</v>
      </c>
      <c r="I50" s="33" t="s">
        <v>107</v>
      </c>
      <c r="J50" s="35" t="s">
        <v>97</v>
      </c>
      <c r="K50" s="35" t="s">
        <v>181</v>
      </c>
      <c r="L50" s="35" t="s">
        <v>182</v>
      </c>
      <c r="M50" s="35" t="s">
        <v>182</v>
      </c>
      <c r="N50" s="36" t="s">
        <v>97</v>
      </c>
      <c r="O50" s="36" t="s">
        <v>183</v>
      </c>
      <c r="P50" s="36" t="s">
        <v>183</v>
      </c>
      <c r="Q50" s="36" t="s">
        <v>183</v>
      </c>
      <c r="R50" s="37">
        <v>4</v>
      </c>
      <c r="S50" s="37">
        <v>0.60906000000000005</v>
      </c>
      <c r="T50" s="37">
        <v>24</v>
      </c>
      <c r="U50" s="37" t="s">
        <v>244</v>
      </c>
      <c r="V50" s="37" t="s">
        <v>183</v>
      </c>
      <c r="W50" s="37" t="s">
        <v>183</v>
      </c>
      <c r="X50" s="37" t="s">
        <v>224</v>
      </c>
      <c r="Y50" s="37" t="s">
        <v>280</v>
      </c>
      <c r="Z50" s="37" t="s">
        <v>24</v>
      </c>
      <c r="AA50" s="37" t="s">
        <v>281</v>
      </c>
      <c r="AB50" s="33" t="s">
        <v>97</v>
      </c>
      <c r="AC50" s="33" t="s">
        <v>184</v>
      </c>
      <c r="AD50" s="33" t="s">
        <v>184</v>
      </c>
      <c r="AE50" s="33" t="s">
        <v>184</v>
      </c>
      <c r="AF50" s="33" t="s">
        <v>184</v>
      </c>
      <c r="AG50" s="33" t="s">
        <v>184</v>
      </c>
      <c r="AH50" s="33" t="s">
        <v>184</v>
      </c>
      <c r="AI50" s="33" t="s">
        <v>302</v>
      </c>
      <c r="AJ50" s="31" t="s">
        <v>329</v>
      </c>
    </row>
    <row r="51" spans="1:36" ht="2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44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2"/>
      <c r="AJ51" s="45"/>
    </row>
    <row r="52" spans="1:36" ht="21">
      <c r="H52" s="80" t="s">
        <v>282</v>
      </c>
      <c r="I52" s="80"/>
      <c r="O52" s="81" t="s">
        <v>283</v>
      </c>
      <c r="P52" s="81"/>
      <c r="AI52" s="28"/>
    </row>
    <row r="53" spans="1:36" ht="21">
      <c r="H53" s="22" t="s">
        <v>284</v>
      </c>
      <c r="I53" s="22">
        <v>49</v>
      </c>
      <c r="O53" s="20" t="s">
        <v>285</v>
      </c>
      <c r="P53" s="21">
        <f>COUNTIF(N2:N50, "Y")</f>
        <v>13</v>
      </c>
      <c r="R53" s="82" t="s">
        <v>286</v>
      </c>
      <c r="S53" s="82"/>
      <c r="AI53" s="28"/>
    </row>
    <row r="54" spans="1:36" ht="21">
      <c r="H54" s="22" t="s">
        <v>287</v>
      </c>
      <c r="I54" s="22">
        <v>20</v>
      </c>
      <c r="O54" s="20" t="s">
        <v>288</v>
      </c>
      <c r="P54" s="21">
        <f>COUNTIF(N2:N50, "N")</f>
        <v>36</v>
      </c>
      <c r="R54" s="68" t="s">
        <v>344</v>
      </c>
      <c r="S54" s="68">
        <v>10</v>
      </c>
      <c r="AB54" s="83"/>
      <c r="AC54" s="83"/>
      <c r="AI54" s="28"/>
    </row>
    <row r="55" spans="1:36" ht="21">
      <c r="H55" s="22" t="s">
        <v>97</v>
      </c>
      <c r="I55" s="22">
        <f>49-20</f>
        <v>29</v>
      </c>
      <c r="O55" s="20" t="s">
        <v>290</v>
      </c>
      <c r="P55" s="21">
        <f>COUNTIF(P2:P50, "*Al·lèrgia*")</f>
        <v>12</v>
      </c>
      <c r="R55" s="68" t="s">
        <v>345</v>
      </c>
      <c r="S55" s="68">
        <v>9</v>
      </c>
      <c r="AI55" s="28"/>
    </row>
    <row r="56" spans="1:36" ht="21">
      <c r="H56" s="22" t="s">
        <v>292</v>
      </c>
      <c r="I56" s="22">
        <v>17</v>
      </c>
      <c r="O56" s="20" t="s">
        <v>293</v>
      </c>
      <c r="P56" s="21">
        <f>COUNTIF(P2:P50, "*Infecció*")</f>
        <v>13</v>
      </c>
      <c r="R56" s="69" t="s">
        <v>346</v>
      </c>
      <c r="S56" s="23">
        <f>19</f>
        <v>19</v>
      </c>
      <c r="Z56" s="84" t="s">
        <v>295</v>
      </c>
      <c r="AA56" s="84"/>
      <c r="AI56" s="28"/>
    </row>
    <row r="57" spans="1:36" ht="21">
      <c r="H57" s="22" t="s">
        <v>296</v>
      </c>
      <c r="I57" s="22">
        <v>3</v>
      </c>
      <c r="O57" s="24" t="s">
        <v>297</v>
      </c>
      <c r="P57" s="25">
        <f>COUNTIF(P2:P50, "*Altres*")</f>
        <v>1</v>
      </c>
      <c r="R57" s="23" t="s">
        <v>291</v>
      </c>
      <c r="S57" s="23">
        <f>COUNTIF(R2:R50, "5")</f>
        <v>12</v>
      </c>
      <c r="Z57" s="29" t="s">
        <v>299</v>
      </c>
      <c r="AA57" s="29">
        <f>COUNTIF(AI2:AI50,"Alta")</f>
        <v>11</v>
      </c>
      <c r="AI57" s="28"/>
    </row>
    <row r="58" spans="1:36">
      <c r="H58" s="22" t="s">
        <v>300</v>
      </c>
      <c r="I58" s="22">
        <v>0</v>
      </c>
      <c r="O58" s="26"/>
      <c r="P58" s="27"/>
      <c r="R58" s="23" t="s">
        <v>294</v>
      </c>
      <c r="S58" s="23">
        <f>COUNTIF(R2:R50, "6")</f>
        <v>8</v>
      </c>
      <c r="Z58" s="29" t="s">
        <v>302</v>
      </c>
      <c r="AA58" s="29">
        <f>COUNTIF(AI2:AI50, "Mitjana")</f>
        <v>21</v>
      </c>
    </row>
    <row r="59" spans="1:36">
      <c r="R59" s="23" t="s">
        <v>298</v>
      </c>
      <c r="S59" s="23">
        <f>COUNTIF(R2:R50, "7")</f>
        <v>10</v>
      </c>
      <c r="Z59" s="29" t="s">
        <v>303</v>
      </c>
      <c r="AA59" s="29">
        <f>COUNTIF(AI2:AI50, "Baixa")</f>
        <v>17</v>
      </c>
    </row>
    <row r="60" spans="1:36">
      <c r="R60" s="23" t="s">
        <v>301</v>
      </c>
      <c r="S60" s="23">
        <f>SUM(S57:S59)</f>
        <v>30</v>
      </c>
      <c r="Z60" s="29" t="s">
        <v>304</v>
      </c>
      <c r="AA60" s="29">
        <f>COUNTIF(AI2:AI50, "Externa")</f>
        <v>0</v>
      </c>
    </row>
  </sheetData>
  <autoFilter ref="R1:R50" xr:uid="{00000000-0001-0000-0600-000000000000}"/>
  <mergeCells count="5">
    <mergeCell ref="H52:I52"/>
    <mergeCell ref="O52:P52"/>
    <mergeCell ref="R53:S53"/>
    <mergeCell ref="AB54:AC54"/>
    <mergeCell ref="Z56:AA56"/>
  </mergeCells>
  <conditionalFormatting sqref="AB2:AB9">
    <cfRule type="cellIs" dxfId="21" priority="5" operator="equal">
      <formula>"Y"</formula>
    </cfRule>
  </conditionalFormatting>
  <conditionalFormatting sqref="AB2:AB50">
    <cfRule type="cellIs" dxfId="20" priority="1" operator="equal">
      <formula>"N"</formula>
    </cfRule>
    <cfRule type="cellIs" dxfId="19" priority="2" operator="equal">
      <formula>"NO"</formula>
    </cfRule>
    <cfRule type="cellIs" dxfId="18" priority="6" operator="equal">
      <formula>"Y"</formula>
    </cfRule>
  </conditionalFormatting>
  <conditionalFormatting sqref="AI2:AI50">
    <cfRule type="containsText" dxfId="17" priority="10" operator="containsText" text="Mitjana">
      <formula>NOT(ISERROR(SEARCH("Mitjana",AI2)))</formula>
    </cfRule>
    <cfRule type="containsText" dxfId="16" priority="11" operator="containsText" text="Baixa">
      <formula>NOT(ISERROR(SEARCH("Baixa",AI2)))</formula>
    </cfRule>
    <cfRule type="containsText" dxfId="15" priority="12" operator="containsText" text="Alta">
      <formula>NOT(ISERROR(SEARCH("Alta",AI2)))</formula>
    </cfRule>
    <cfRule type="colorScale" priority="13">
      <colorScale>
        <cfvo type="percent" val="$AI$29"/>
        <cfvo type="percent" val="$AI$26"/>
        <cfvo type="percent" val="$AI$19"/>
        <color rgb="FFFF7128"/>
        <color rgb="FFFFEB84"/>
        <color rgb="FF00B050"/>
      </colorScale>
    </cfRule>
    <cfRule type="containsText" dxfId="14" priority="14" operator="containsText" text="Alta">
      <formula>NOT(ISERROR(SEARCH("Alta",AI2)))</formula>
    </cfRule>
    <cfRule type="cellIs" dxfId="13" priority="15" operator="equal">
      <formula>"Alts"</formula>
    </cfRule>
    <cfRule type="colorScale" priority="16">
      <colorScale>
        <cfvo type="num" val="$AI$29"/>
        <cfvo type="num" val="$AI$13"/>
        <cfvo type="num" val="$AI$7"/>
        <color theme="9" tint="-0.249977111117893"/>
        <color rgb="FFFFEB84"/>
        <color rgb="FF00B050"/>
      </colorScale>
    </cfRule>
    <cfRule type="colorScale" priority="17">
      <colorScale>
        <cfvo type="formula" val="&quot;Baixa&quot;"/>
        <cfvo type="formula" val="&quot;Mitjana&quot;"/>
        <cfvo type="formula" val="&quot;Alta&quot;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50">
    <cfRule type="containsText" dxfId="12" priority="8" operator="containsText" text="Externa">
      <formula>NOT(ISERROR(SEARCH("Externa",AI3)))</formula>
    </cfRule>
  </conditionalFormatting>
  <conditionalFormatting sqref="AI6:AI50">
    <cfRule type="containsText" dxfId="11" priority="9" operator="containsText" text="Reguladora externa">
      <formula>NOT(ISERROR(SEARCH("Reguladora externa",AI6)))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M60"/>
  <sheetViews>
    <sheetView topLeftCell="Z11" zoomScale="25" zoomScaleNormal="43" workbookViewId="0">
      <selection activeCell="AH49" sqref="AH49"/>
    </sheetView>
  </sheetViews>
  <sheetFormatPr baseColWidth="10" defaultRowHeight="15"/>
  <cols>
    <col min="1" max="1" width="11" style="19" customWidth="1"/>
    <col min="2" max="2" width="12.1640625" style="19" customWidth="1"/>
    <col min="3" max="3" width="33.83203125" style="19" customWidth="1"/>
    <col min="4" max="4" width="29.6640625" style="19" customWidth="1"/>
    <col min="5" max="6" width="60.1640625" style="19" customWidth="1"/>
    <col min="7" max="7" width="41.1640625" style="19" customWidth="1"/>
    <col min="8" max="8" width="26.83203125" style="19" customWidth="1"/>
    <col min="9" max="9" width="41.5" style="19" customWidth="1"/>
    <col min="10" max="10" width="38.33203125" style="19" customWidth="1"/>
    <col min="11" max="11" width="24.83203125" style="19" customWidth="1"/>
    <col min="12" max="12" width="27.33203125" style="19" customWidth="1"/>
    <col min="13" max="13" width="51" style="19" customWidth="1"/>
    <col min="14" max="14" width="39.1640625" style="19" customWidth="1"/>
    <col min="15" max="15" width="55.6640625" style="19" customWidth="1"/>
    <col min="16" max="16" width="37.6640625" style="19" customWidth="1"/>
    <col min="17" max="17" width="23.33203125" style="19" customWidth="1"/>
    <col min="18" max="18" width="30.5" style="19" customWidth="1"/>
    <col min="19" max="23" width="27.1640625" style="19" customWidth="1"/>
    <col min="24" max="24" width="27" style="19" customWidth="1"/>
    <col min="25" max="25" width="65.6640625" style="19" customWidth="1"/>
    <col min="26" max="26" width="24.6640625" style="19" customWidth="1"/>
    <col min="27" max="27" width="79.6640625" style="19" customWidth="1"/>
    <col min="28" max="28" width="29.33203125" style="19" customWidth="1"/>
    <col min="29" max="29" width="46.6640625" style="19" customWidth="1"/>
    <col min="30" max="33" width="28" style="19" customWidth="1"/>
    <col min="34" max="34" width="62.83203125" style="19" customWidth="1"/>
    <col min="35" max="35" width="18" style="19" customWidth="1"/>
    <col min="36" max="36" width="80" style="46" customWidth="1"/>
    <col min="37" max="16384" width="10.83203125" style="19"/>
  </cols>
  <sheetData>
    <row r="1" spans="1:36" ht="44">
      <c r="A1" s="50" t="s">
        <v>0</v>
      </c>
      <c r="B1" s="50" t="s">
        <v>1</v>
      </c>
      <c r="C1" s="50" t="s">
        <v>2</v>
      </c>
      <c r="D1" s="50" t="s">
        <v>15</v>
      </c>
      <c r="E1" s="50" t="s">
        <v>16</v>
      </c>
      <c r="F1" s="50" t="s">
        <v>152</v>
      </c>
      <c r="G1" s="50" t="s">
        <v>3</v>
      </c>
      <c r="H1" s="50" t="s">
        <v>6</v>
      </c>
      <c r="I1" s="50" t="s">
        <v>148</v>
      </c>
      <c r="J1" s="50" t="s">
        <v>153</v>
      </c>
      <c r="K1" s="50" t="s">
        <v>154</v>
      </c>
      <c r="L1" s="50" t="s">
        <v>155</v>
      </c>
      <c r="M1" s="50" t="s">
        <v>156</v>
      </c>
      <c r="N1" s="50" t="s">
        <v>157</v>
      </c>
      <c r="O1" s="50" t="s">
        <v>158</v>
      </c>
      <c r="P1" s="50" t="s">
        <v>159</v>
      </c>
      <c r="Q1" s="50" t="s">
        <v>160</v>
      </c>
      <c r="R1" s="50" t="s">
        <v>161</v>
      </c>
      <c r="S1" s="50" t="s">
        <v>162</v>
      </c>
      <c r="T1" s="50" t="s">
        <v>163</v>
      </c>
      <c r="U1" s="50" t="s">
        <v>164</v>
      </c>
      <c r="V1" s="50" t="s">
        <v>165</v>
      </c>
      <c r="W1" s="50" t="s">
        <v>166</v>
      </c>
      <c r="X1" s="50" t="s">
        <v>167</v>
      </c>
      <c r="Y1" s="50" t="s">
        <v>168</v>
      </c>
      <c r="Z1" s="50" t="s">
        <v>169</v>
      </c>
      <c r="AA1" s="50" t="s">
        <v>170</v>
      </c>
      <c r="AB1" s="50" t="s">
        <v>171</v>
      </c>
      <c r="AC1" s="50" t="s">
        <v>172</v>
      </c>
      <c r="AD1" s="50" t="s">
        <v>173</v>
      </c>
      <c r="AE1" s="51" t="s">
        <v>174</v>
      </c>
      <c r="AF1" s="51" t="s">
        <v>175</v>
      </c>
      <c r="AG1" s="50" t="s">
        <v>176</v>
      </c>
      <c r="AH1" s="51" t="s">
        <v>177</v>
      </c>
      <c r="AI1" s="50" t="s">
        <v>178</v>
      </c>
      <c r="AJ1" s="55" t="s">
        <v>179</v>
      </c>
    </row>
    <row r="2" spans="1:36" ht="32">
      <c r="A2" s="33">
        <v>4</v>
      </c>
      <c r="B2" s="33">
        <v>38760338</v>
      </c>
      <c r="C2" s="34" t="s">
        <v>20</v>
      </c>
      <c r="D2" s="34" t="s">
        <v>26</v>
      </c>
      <c r="E2" s="33" t="s">
        <v>27</v>
      </c>
      <c r="F2" s="33" t="s">
        <v>180</v>
      </c>
      <c r="G2" s="33" t="s">
        <v>21</v>
      </c>
      <c r="H2" s="33" t="s">
        <v>23</v>
      </c>
      <c r="I2" s="33" t="s">
        <v>149</v>
      </c>
      <c r="J2" s="35" t="s">
        <v>97</v>
      </c>
      <c r="K2" s="35" t="s">
        <v>181</v>
      </c>
      <c r="L2" s="35" t="s">
        <v>182</v>
      </c>
      <c r="M2" s="35" t="s">
        <v>182</v>
      </c>
      <c r="N2" s="36" t="s">
        <v>97</v>
      </c>
      <c r="O2" s="36" t="s">
        <v>183</v>
      </c>
      <c r="P2" s="36" t="s">
        <v>183</v>
      </c>
      <c r="Q2" s="36" t="s">
        <v>183</v>
      </c>
      <c r="R2" s="37">
        <v>5</v>
      </c>
      <c r="S2" s="37">
        <v>0.13453999999999999</v>
      </c>
      <c r="T2" s="37">
        <v>1</v>
      </c>
      <c r="U2" s="37" t="s">
        <v>183</v>
      </c>
      <c r="V2" s="37" t="s">
        <v>183</v>
      </c>
      <c r="W2" s="37" t="s">
        <v>183</v>
      </c>
      <c r="X2" s="37" t="s">
        <v>183</v>
      </c>
      <c r="Y2" s="37" t="s">
        <v>183</v>
      </c>
      <c r="Z2" s="37" t="s">
        <v>183</v>
      </c>
      <c r="AA2" s="37" t="s">
        <v>184</v>
      </c>
      <c r="AB2" s="33" t="s">
        <v>97</v>
      </c>
      <c r="AC2" s="33" t="s">
        <v>184</v>
      </c>
      <c r="AD2" s="33" t="s">
        <v>184</v>
      </c>
      <c r="AE2" s="33" t="s">
        <v>184</v>
      </c>
      <c r="AF2" s="33" t="s">
        <v>184</v>
      </c>
      <c r="AG2" s="33" t="s">
        <v>184</v>
      </c>
      <c r="AH2" s="33" t="s">
        <v>184</v>
      </c>
      <c r="AI2" s="33" t="s">
        <v>303</v>
      </c>
      <c r="AJ2" s="31" t="s">
        <v>305</v>
      </c>
    </row>
    <row r="3" spans="1:36" ht="32">
      <c r="A3" s="33">
        <v>4</v>
      </c>
      <c r="B3" s="33">
        <v>38765046</v>
      </c>
      <c r="C3" s="34" t="s">
        <v>29</v>
      </c>
      <c r="D3" s="34" t="s">
        <v>26</v>
      </c>
      <c r="E3" s="33" t="s">
        <v>32</v>
      </c>
      <c r="F3" s="33" t="s">
        <v>180</v>
      </c>
      <c r="G3" s="33" t="s">
        <v>30</v>
      </c>
      <c r="H3" s="33" t="s">
        <v>21</v>
      </c>
      <c r="I3" s="33" t="s">
        <v>60</v>
      </c>
      <c r="J3" s="35" t="s">
        <v>97</v>
      </c>
      <c r="K3" s="35" t="s">
        <v>181</v>
      </c>
      <c r="L3" s="35" t="s">
        <v>182</v>
      </c>
      <c r="M3" s="35" t="s">
        <v>182</v>
      </c>
      <c r="N3" s="36" t="s">
        <v>97</v>
      </c>
      <c r="O3" s="36" t="s">
        <v>183</v>
      </c>
      <c r="P3" s="36" t="s">
        <v>183</v>
      </c>
      <c r="Q3" s="36" t="s">
        <v>183</v>
      </c>
      <c r="R3" s="37">
        <v>5</v>
      </c>
      <c r="S3" s="37">
        <v>0.58955000000000002</v>
      </c>
      <c r="T3" s="37">
        <v>2</v>
      </c>
      <c r="U3" s="37" t="s">
        <v>183</v>
      </c>
      <c r="V3" s="37" t="s">
        <v>183</v>
      </c>
      <c r="W3" s="37" t="s">
        <v>183</v>
      </c>
      <c r="X3" s="37" t="s">
        <v>183</v>
      </c>
      <c r="Y3" s="37" t="s">
        <v>183</v>
      </c>
      <c r="Z3" s="37" t="s">
        <v>183</v>
      </c>
      <c r="AA3" s="37" t="s">
        <v>184</v>
      </c>
      <c r="AB3" s="33" t="s">
        <v>97</v>
      </c>
      <c r="AC3" s="33" t="s">
        <v>184</v>
      </c>
      <c r="AD3" s="33" t="s">
        <v>184</v>
      </c>
      <c r="AE3" s="33" t="s">
        <v>184</v>
      </c>
      <c r="AF3" s="33" t="s">
        <v>184</v>
      </c>
      <c r="AG3" s="33" t="s">
        <v>184</v>
      </c>
      <c r="AH3" s="33" t="s">
        <v>184</v>
      </c>
      <c r="AI3" s="33" t="s">
        <v>303</v>
      </c>
      <c r="AJ3" s="31" t="s">
        <v>305</v>
      </c>
    </row>
    <row r="4" spans="1:36" ht="32">
      <c r="A4" s="33">
        <v>4</v>
      </c>
      <c r="B4" s="33">
        <v>38766285</v>
      </c>
      <c r="C4" s="33" t="s">
        <v>34</v>
      </c>
      <c r="D4" s="33"/>
      <c r="E4" s="33" t="s">
        <v>37</v>
      </c>
      <c r="F4" s="33" t="s">
        <v>185</v>
      </c>
      <c r="G4" s="33" t="s">
        <v>21</v>
      </c>
      <c r="H4" s="33" t="s">
        <v>30</v>
      </c>
      <c r="I4" s="33" t="s">
        <v>39</v>
      </c>
      <c r="J4" s="35" t="s">
        <v>97</v>
      </c>
      <c r="K4" s="35" t="s">
        <v>181</v>
      </c>
      <c r="L4" s="35" t="s">
        <v>182</v>
      </c>
      <c r="M4" s="35" t="s">
        <v>182</v>
      </c>
      <c r="N4" s="36" t="s">
        <v>97</v>
      </c>
      <c r="O4" s="36" t="s">
        <v>183</v>
      </c>
      <c r="P4" s="36" t="s">
        <v>183</v>
      </c>
      <c r="Q4" s="36" t="s">
        <v>183</v>
      </c>
      <c r="R4" s="37">
        <v>5</v>
      </c>
      <c r="S4" s="37">
        <v>0.13453999999999999</v>
      </c>
      <c r="T4" s="37">
        <v>2</v>
      </c>
      <c r="U4" s="37" t="s">
        <v>183</v>
      </c>
      <c r="V4" s="37" t="s">
        <v>183</v>
      </c>
      <c r="W4" s="37" t="s">
        <v>183</v>
      </c>
      <c r="X4" s="37" t="s">
        <v>183</v>
      </c>
      <c r="Y4" s="37" t="s">
        <v>183</v>
      </c>
      <c r="Z4" s="37" t="s">
        <v>183</v>
      </c>
      <c r="AA4" s="37" t="s">
        <v>184</v>
      </c>
      <c r="AB4" s="33" t="s">
        <v>97</v>
      </c>
      <c r="AC4" s="33" t="s">
        <v>184</v>
      </c>
      <c r="AD4" s="33" t="s">
        <v>184</v>
      </c>
      <c r="AE4" s="33" t="s">
        <v>184</v>
      </c>
      <c r="AF4" s="33" t="s">
        <v>184</v>
      </c>
      <c r="AG4" s="33" t="s">
        <v>184</v>
      </c>
      <c r="AH4" s="33" t="s">
        <v>184</v>
      </c>
      <c r="AI4" s="33" t="s">
        <v>303</v>
      </c>
      <c r="AJ4" s="31" t="s">
        <v>305</v>
      </c>
    </row>
    <row r="5" spans="1:36" ht="32">
      <c r="A5" s="33">
        <v>4</v>
      </c>
      <c r="B5" s="33">
        <v>38767749</v>
      </c>
      <c r="C5" s="33" t="s">
        <v>38</v>
      </c>
      <c r="D5" s="33"/>
      <c r="E5" s="33" t="s">
        <v>37</v>
      </c>
      <c r="F5" s="33" t="s">
        <v>185</v>
      </c>
      <c r="G5" s="33" t="s">
        <v>21</v>
      </c>
      <c r="H5" s="33" t="s">
        <v>30</v>
      </c>
      <c r="I5" s="33" t="s">
        <v>39</v>
      </c>
      <c r="J5" s="35" t="s">
        <v>97</v>
      </c>
      <c r="K5" s="35" t="s">
        <v>181</v>
      </c>
      <c r="L5" s="35" t="s">
        <v>182</v>
      </c>
      <c r="M5" s="35" t="s">
        <v>182</v>
      </c>
      <c r="N5" s="36" t="s">
        <v>97</v>
      </c>
      <c r="O5" s="36" t="s">
        <v>183</v>
      </c>
      <c r="P5" s="36" t="s">
        <v>183</v>
      </c>
      <c r="Q5" s="36" t="s">
        <v>183</v>
      </c>
      <c r="R5" s="37">
        <v>5</v>
      </c>
      <c r="S5" s="37">
        <v>0.13453999999999999</v>
      </c>
      <c r="T5" s="37">
        <v>2</v>
      </c>
      <c r="U5" s="37" t="s">
        <v>183</v>
      </c>
      <c r="V5" s="37" t="s">
        <v>183</v>
      </c>
      <c r="W5" s="37" t="s">
        <v>183</v>
      </c>
      <c r="X5" s="37" t="s">
        <v>183</v>
      </c>
      <c r="Y5" s="37" t="s">
        <v>183</v>
      </c>
      <c r="Z5" s="37" t="s">
        <v>183</v>
      </c>
      <c r="AA5" s="37" t="s">
        <v>184</v>
      </c>
      <c r="AB5" s="33" t="s">
        <v>97</v>
      </c>
      <c r="AC5" s="33" t="s">
        <v>184</v>
      </c>
      <c r="AD5" s="33" t="s">
        <v>184</v>
      </c>
      <c r="AE5" s="33" t="s">
        <v>184</v>
      </c>
      <c r="AF5" s="33" t="s">
        <v>184</v>
      </c>
      <c r="AG5" s="33" t="s">
        <v>184</v>
      </c>
      <c r="AH5" s="33" t="s">
        <v>184</v>
      </c>
      <c r="AI5" s="33" t="s">
        <v>303</v>
      </c>
      <c r="AJ5" s="31" t="s">
        <v>305</v>
      </c>
    </row>
    <row r="6" spans="1:36" ht="48">
      <c r="A6" s="33">
        <v>4</v>
      </c>
      <c r="B6" s="33">
        <v>38769018</v>
      </c>
      <c r="C6" s="38" t="s">
        <v>40</v>
      </c>
      <c r="D6" s="38" t="s">
        <v>41</v>
      </c>
      <c r="E6" s="33" t="s">
        <v>27</v>
      </c>
      <c r="F6" s="33" t="s">
        <v>180</v>
      </c>
      <c r="G6" s="33" t="s">
        <v>30</v>
      </c>
      <c r="H6" s="33" t="s">
        <v>21</v>
      </c>
      <c r="I6" s="33" t="s">
        <v>60</v>
      </c>
      <c r="J6" s="35" t="s">
        <v>97</v>
      </c>
      <c r="K6" s="35" t="s">
        <v>181</v>
      </c>
      <c r="L6" s="35" t="s">
        <v>182</v>
      </c>
      <c r="M6" s="35" t="s">
        <v>182</v>
      </c>
      <c r="N6" s="36" t="s">
        <v>97</v>
      </c>
      <c r="O6" s="36" t="s">
        <v>183</v>
      </c>
      <c r="P6" s="36" t="s">
        <v>183</v>
      </c>
      <c r="Q6" s="36" t="s">
        <v>183</v>
      </c>
      <c r="R6" s="37" t="s">
        <v>186</v>
      </c>
      <c r="S6" s="37">
        <v>0.70694999999999997</v>
      </c>
      <c r="T6" s="37">
        <v>5</v>
      </c>
      <c r="U6" s="37" t="s">
        <v>187</v>
      </c>
      <c r="V6" s="37" t="s">
        <v>183</v>
      </c>
      <c r="W6" s="37" t="s">
        <v>183</v>
      </c>
      <c r="X6" s="37" t="s">
        <v>188</v>
      </c>
      <c r="Y6" s="37" t="s">
        <v>189</v>
      </c>
      <c r="Z6" s="37" t="s">
        <v>24</v>
      </c>
      <c r="AA6" s="37" t="s">
        <v>190</v>
      </c>
      <c r="AB6" s="33" t="s">
        <v>97</v>
      </c>
      <c r="AC6" s="33" t="s">
        <v>184</v>
      </c>
      <c r="AD6" s="33" t="s">
        <v>184</v>
      </c>
      <c r="AE6" s="33" t="s">
        <v>184</v>
      </c>
      <c r="AF6" s="33" t="s">
        <v>184</v>
      </c>
      <c r="AG6" s="33" t="s">
        <v>184</v>
      </c>
      <c r="AH6" s="33" t="s">
        <v>184</v>
      </c>
      <c r="AI6" s="33" t="s">
        <v>302</v>
      </c>
      <c r="AJ6" s="31" t="s">
        <v>306</v>
      </c>
    </row>
    <row r="7" spans="1:36" ht="88">
      <c r="A7" s="33">
        <v>4</v>
      </c>
      <c r="B7" s="33">
        <v>38777471</v>
      </c>
      <c r="C7" s="38" t="s">
        <v>42</v>
      </c>
      <c r="D7" s="38" t="s">
        <v>41</v>
      </c>
      <c r="E7" s="33" t="s">
        <v>45</v>
      </c>
      <c r="F7" s="33" t="s">
        <v>191</v>
      </c>
      <c r="G7" s="33" t="s">
        <v>43</v>
      </c>
      <c r="H7" s="33" t="s">
        <v>23</v>
      </c>
      <c r="I7" s="33" t="s">
        <v>49</v>
      </c>
      <c r="J7" s="35" t="s">
        <v>24</v>
      </c>
      <c r="K7" s="35" t="s">
        <v>41</v>
      </c>
      <c r="L7" s="39">
        <v>3.1999999999999999E-15</v>
      </c>
      <c r="M7" s="35" t="s">
        <v>192</v>
      </c>
      <c r="N7" s="36" t="s">
        <v>24</v>
      </c>
      <c r="O7" s="36" t="s">
        <v>193</v>
      </c>
      <c r="P7" s="36" t="s">
        <v>194</v>
      </c>
      <c r="Q7" s="36" t="s">
        <v>195</v>
      </c>
      <c r="R7" s="37">
        <v>7</v>
      </c>
      <c r="S7" s="37">
        <v>0.51392000000000004</v>
      </c>
      <c r="T7" s="37">
        <v>4</v>
      </c>
      <c r="U7" s="37" t="s">
        <v>196</v>
      </c>
      <c r="V7" s="37" t="s">
        <v>197</v>
      </c>
      <c r="W7" s="37" t="s">
        <v>198</v>
      </c>
      <c r="X7" s="37" t="s">
        <v>188</v>
      </c>
      <c r="Y7" s="37" t="s">
        <v>199</v>
      </c>
      <c r="Z7" s="37" t="s">
        <v>97</v>
      </c>
      <c r="AA7" s="37" t="s">
        <v>184</v>
      </c>
      <c r="AB7" s="33" t="s">
        <v>97</v>
      </c>
      <c r="AC7" s="33" t="s">
        <v>184</v>
      </c>
      <c r="AD7" s="33" t="s">
        <v>184</v>
      </c>
      <c r="AE7" s="33" t="s">
        <v>184</v>
      </c>
      <c r="AF7" s="33" t="s">
        <v>184</v>
      </c>
      <c r="AG7" s="33" t="s">
        <v>184</v>
      </c>
      <c r="AH7" s="33" t="s">
        <v>184</v>
      </c>
      <c r="AI7" s="33" t="s">
        <v>299</v>
      </c>
      <c r="AJ7" s="31" t="s">
        <v>307</v>
      </c>
    </row>
    <row r="8" spans="1:36" ht="88">
      <c r="A8" s="33">
        <v>4</v>
      </c>
      <c r="B8" s="33">
        <v>38778903</v>
      </c>
      <c r="C8" s="38" t="s">
        <v>46</v>
      </c>
      <c r="D8" s="38" t="s">
        <v>41</v>
      </c>
      <c r="E8" s="33" t="s">
        <v>47</v>
      </c>
      <c r="F8" s="33" t="s">
        <v>200</v>
      </c>
      <c r="G8" s="33" t="s">
        <v>21</v>
      </c>
      <c r="H8" s="33" t="s">
        <v>30</v>
      </c>
      <c r="I8" s="33" t="s">
        <v>39</v>
      </c>
      <c r="J8" s="35" t="s">
        <v>24</v>
      </c>
      <c r="K8" s="35" t="s">
        <v>41</v>
      </c>
      <c r="L8" s="39">
        <v>3.1999999999999999E-15</v>
      </c>
      <c r="M8" s="35" t="s">
        <v>192</v>
      </c>
      <c r="N8" s="36" t="s">
        <v>24</v>
      </c>
      <c r="O8" s="36" t="s">
        <v>193</v>
      </c>
      <c r="P8" s="36" t="s">
        <v>194</v>
      </c>
      <c r="Q8" s="36" t="s">
        <v>195</v>
      </c>
      <c r="R8" s="37">
        <v>6</v>
      </c>
      <c r="S8" s="37">
        <v>0.28661999999999999</v>
      </c>
      <c r="T8" s="37">
        <v>7</v>
      </c>
      <c r="U8" s="37" t="s">
        <v>196</v>
      </c>
      <c r="V8" s="37" t="s">
        <v>197</v>
      </c>
      <c r="W8" s="37" t="s">
        <v>198</v>
      </c>
      <c r="X8" s="37" t="s">
        <v>188</v>
      </c>
      <c r="Y8" s="37" t="s">
        <v>201</v>
      </c>
      <c r="Z8" s="37" t="s">
        <v>97</v>
      </c>
      <c r="AA8" s="37" t="s">
        <v>184</v>
      </c>
      <c r="AB8" s="33" t="s">
        <v>97</v>
      </c>
      <c r="AC8" s="33" t="s">
        <v>184</v>
      </c>
      <c r="AD8" s="33" t="s">
        <v>184</v>
      </c>
      <c r="AE8" s="33" t="s">
        <v>184</v>
      </c>
      <c r="AF8" s="33" t="s">
        <v>184</v>
      </c>
      <c r="AG8" s="33" t="s">
        <v>184</v>
      </c>
      <c r="AH8" s="33" t="s">
        <v>184</v>
      </c>
      <c r="AI8" s="33" t="s">
        <v>299</v>
      </c>
      <c r="AJ8" s="31" t="s">
        <v>308</v>
      </c>
    </row>
    <row r="9" spans="1:36" ht="26.75" customHeight="1">
      <c r="A9" s="33">
        <v>4</v>
      </c>
      <c r="B9" s="33">
        <v>38779512</v>
      </c>
      <c r="C9" s="38" t="s">
        <v>48</v>
      </c>
      <c r="D9" s="38" t="s">
        <v>41</v>
      </c>
      <c r="E9" s="33" t="s">
        <v>47</v>
      </c>
      <c r="F9" s="33" t="s">
        <v>200</v>
      </c>
      <c r="G9" s="33" t="s">
        <v>43</v>
      </c>
      <c r="H9" s="33" t="s">
        <v>23</v>
      </c>
      <c r="I9" s="33" t="s">
        <v>49</v>
      </c>
      <c r="J9" s="35" t="s">
        <v>97</v>
      </c>
      <c r="K9" s="35"/>
      <c r="L9" s="35"/>
      <c r="M9" s="35" t="s">
        <v>182</v>
      </c>
      <c r="N9" s="36" t="s">
        <v>97</v>
      </c>
      <c r="O9" s="36" t="s">
        <v>183</v>
      </c>
      <c r="P9" s="36" t="s">
        <v>183</v>
      </c>
      <c r="Q9" s="36" t="s">
        <v>183</v>
      </c>
      <c r="R9" s="37">
        <v>7</v>
      </c>
      <c r="S9" s="37">
        <v>0.18412000000000001</v>
      </c>
      <c r="T9" s="37">
        <v>0</v>
      </c>
      <c r="U9" s="37" t="s">
        <v>183</v>
      </c>
      <c r="V9" s="37" t="s">
        <v>183</v>
      </c>
      <c r="W9" s="37" t="s">
        <v>183</v>
      </c>
      <c r="X9" s="37" t="s">
        <v>183</v>
      </c>
      <c r="Y9" s="37" t="s">
        <v>183</v>
      </c>
      <c r="Z9" s="37" t="s">
        <v>183</v>
      </c>
      <c r="AA9" s="37" t="s">
        <v>184</v>
      </c>
      <c r="AB9" s="33" t="s">
        <v>97</v>
      </c>
      <c r="AC9" s="33" t="s">
        <v>184</v>
      </c>
      <c r="AD9" s="33" t="s">
        <v>184</v>
      </c>
      <c r="AE9" s="33" t="s">
        <v>184</v>
      </c>
      <c r="AF9" s="33" t="s">
        <v>184</v>
      </c>
      <c r="AG9" s="33" t="s">
        <v>184</v>
      </c>
      <c r="AH9" s="33" t="s">
        <v>184</v>
      </c>
      <c r="AI9" s="33" t="s">
        <v>303</v>
      </c>
      <c r="AJ9" s="31" t="s">
        <v>305</v>
      </c>
    </row>
    <row r="10" spans="1:36" ht="88">
      <c r="A10" s="33">
        <v>4</v>
      </c>
      <c r="B10" s="33">
        <v>38780471</v>
      </c>
      <c r="C10" s="38" t="s">
        <v>50</v>
      </c>
      <c r="D10" s="38" t="s">
        <v>41</v>
      </c>
      <c r="E10" s="33" t="s">
        <v>47</v>
      </c>
      <c r="F10" s="33" t="s">
        <v>200</v>
      </c>
      <c r="G10" s="33" t="s">
        <v>23</v>
      </c>
      <c r="H10" s="33" t="s">
        <v>43</v>
      </c>
      <c r="I10" s="33" t="s">
        <v>53</v>
      </c>
      <c r="J10" s="35" t="s">
        <v>24</v>
      </c>
      <c r="K10" s="35" t="s">
        <v>41</v>
      </c>
      <c r="L10" s="39">
        <v>3.1999999999999999E-15</v>
      </c>
      <c r="M10" s="35" t="s">
        <v>192</v>
      </c>
      <c r="N10" s="36" t="s">
        <v>24</v>
      </c>
      <c r="O10" s="36" t="s">
        <v>193</v>
      </c>
      <c r="P10" s="36" t="s">
        <v>194</v>
      </c>
      <c r="Q10" s="36" t="s">
        <v>195</v>
      </c>
      <c r="R10" s="37" t="s">
        <v>202</v>
      </c>
      <c r="S10" s="37">
        <v>0.55435999999999996</v>
      </c>
      <c r="T10" s="37">
        <v>24</v>
      </c>
      <c r="U10" s="37" t="s">
        <v>196</v>
      </c>
      <c r="V10" s="37" t="s">
        <v>197</v>
      </c>
      <c r="W10" s="37" t="s">
        <v>203</v>
      </c>
      <c r="X10" s="37" t="s">
        <v>188</v>
      </c>
      <c r="Y10" s="37" t="s">
        <v>204</v>
      </c>
      <c r="Z10" s="37" t="s">
        <v>24</v>
      </c>
      <c r="AA10" s="37" t="s">
        <v>205</v>
      </c>
      <c r="AB10" s="33" t="s">
        <v>24</v>
      </c>
      <c r="AC10" s="31" t="s">
        <v>206</v>
      </c>
      <c r="AD10" s="31" t="s">
        <v>207</v>
      </c>
      <c r="AE10" s="31" t="s">
        <v>208</v>
      </c>
      <c r="AF10" s="31" t="s">
        <v>209</v>
      </c>
      <c r="AG10" s="31" t="s">
        <v>210</v>
      </c>
      <c r="AH10" s="31" t="s">
        <v>211</v>
      </c>
      <c r="AI10" s="33" t="s">
        <v>299</v>
      </c>
      <c r="AJ10" s="31" t="s">
        <v>309</v>
      </c>
    </row>
    <row r="11" spans="1:36" ht="96">
      <c r="A11" s="33">
        <v>4</v>
      </c>
      <c r="B11" s="33">
        <v>38783848</v>
      </c>
      <c r="C11" s="38" t="s">
        <v>52</v>
      </c>
      <c r="D11" s="38" t="s">
        <v>41</v>
      </c>
      <c r="E11" s="33" t="s">
        <v>47</v>
      </c>
      <c r="F11" s="33" t="s">
        <v>200</v>
      </c>
      <c r="G11" s="33" t="s">
        <v>23</v>
      </c>
      <c r="H11" s="33" t="s">
        <v>43</v>
      </c>
      <c r="I11" s="33" t="s">
        <v>53</v>
      </c>
      <c r="J11" s="35" t="s">
        <v>97</v>
      </c>
      <c r="K11" s="35"/>
      <c r="L11" s="35"/>
      <c r="M11" s="35" t="s">
        <v>182</v>
      </c>
      <c r="N11" s="36" t="s">
        <v>24</v>
      </c>
      <c r="O11" s="36" t="s">
        <v>193</v>
      </c>
      <c r="P11" s="36" t="s">
        <v>194</v>
      </c>
      <c r="Q11" s="36" t="s">
        <v>212</v>
      </c>
      <c r="R11" s="37" t="s">
        <v>213</v>
      </c>
      <c r="S11" s="37">
        <v>0.97048999999999996</v>
      </c>
      <c r="T11" s="37">
        <v>58</v>
      </c>
      <c r="U11" s="37" t="s">
        <v>196</v>
      </c>
      <c r="V11" s="37" t="s">
        <v>197</v>
      </c>
      <c r="W11" s="37" t="s">
        <v>203</v>
      </c>
      <c r="X11" s="37" t="s">
        <v>188</v>
      </c>
      <c r="Y11" s="37" t="s">
        <v>214</v>
      </c>
      <c r="Z11" s="37" t="s">
        <v>24</v>
      </c>
      <c r="AA11" s="37" t="s">
        <v>215</v>
      </c>
      <c r="AB11" s="33" t="s">
        <v>24</v>
      </c>
      <c r="AC11" s="31" t="s">
        <v>216</v>
      </c>
      <c r="AD11" s="31" t="s">
        <v>217</v>
      </c>
      <c r="AE11" s="31" t="s">
        <v>218</v>
      </c>
      <c r="AF11" s="31" t="s">
        <v>219</v>
      </c>
      <c r="AG11" s="31" t="s">
        <v>220</v>
      </c>
      <c r="AH11" s="31" t="s">
        <v>221</v>
      </c>
      <c r="AI11" s="33" t="s">
        <v>299</v>
      </c>
      <c r="AJ11" s="31" t="s">
        <v>310</v>
      </c>
    </row>
    <row r="12" spans="1:36" ht="32">
      <c r="A12" s="33">
        <v>4</v>
      </c>
      <c r="B12" s="33">
        <v>38789675</v>
      </c>
      <c r="C12" s="40" t="s">
        <v>54</v>
      </c>
      <c r="D12" s="40" t="s">
        <v>56</v>
      </c>
      <c r="E12" s="33" t="s">
        <v>57</v>
      </c>
      <c r="F12" s="33" t="s">
        <v>191</v>
      </c>
      <c r="G12" s="33" t="s">
        <v>21</v>
      </c>
      <c r="H12" s="33" t="s">
        <v>30</v>
      </c>
      <c r="I12" s="33" t="s">
        <v>39</v>
      </c>
      <c r="J12" s="35" t="s">
        <v>97</v>
      </c>
      <c r="K12" s="35"/>
      <c r="L12" s="35"/>
      <c r="M12" s="35" t="s">
        <v>182</v>
      </c>
      <c r="N12" s="36" t="s">
        <v>97</v>
      </c>
      <c r="O12" s="36" t="s">
        <v>183</v>
      </c>
      <c r="P12" s="36" t="s">
        <v>183</v>
      </c>
      <c r="Q12" s="36" t="s">
        <v>183</v>
      </c>
      <c r="R12" s="37">
        <v>5</v>
      </c>
      <c r="S12" s="37">
        <v>0.58955000000000002</v>
      </c>
      <c r="T12" s="37">
        <v>25</v>
      </c>
      <c r="U12" s="37" t="s">
        <v>183</v>
      </c>
      <c r="V12" s="37" t="s">
        <v>183</v>
      </c>
      <c r="W12" s="37" t="s">
        <v>183</v>
      </c>
      <c r="X12" s="37" t="s">
        <v>183</v>
      </c>
      <c r="Y12" s="37" t="s">
        <v>183</v>
      </c>
      <c r="Z12" s="37" t="s">
        <v>183</v>
      </c>
      <c r="AA12" s="37" t="s">
        <v>184</v>
      </c>
      <c r="AB12" s="33" t="s">
        <v>97</v>
      </c>
      <c r="AC12" s="33" t="s">
        <v>184</v>
      </c>
      <c r="AD12" s="33" t="s">
        <v>184</v>
      </c>
      <c r="AE12" s="33" t="s">
        <v>184</v>
      </c>
      <c r="AF12" s="33" t="s">
        <v>184</v>
      </c>
      <c r="AG12" s="33" t="s">
        <v>184</v>
      </c>
      <c r="AH12" s="33" t="s">
        <v>184</v>
      </c>
      <c r="AI12" s="33" t="s">
        <v>303</v>
      </c>
      <c r="AJ12" s="31" t="s">
        <v>305</v>
      </c>
    </row>
    <row r="13" spans="1:36" ht="88">
      <c r="A13" s="33">
        <v>4</v>
      </c>
      <c r="B13" s="33">
        <v>38796255</v>
      </c>
      <c r="C13" s="40" t="s">
        <v>58</v>
      </c>
      <c r="D13" s="40" t="s">
        <v>56</v>
      </c>
      <c r="E13" s="33" t="s">
        <v>27</v>
      </c>
      <c r="F13" s="33" t="s">
        <v>180</v>
      </c>
      <c r="G13" s="33" t="s">
        <v>21</v>
      </c>
      <c r="H13" s="33" t="s">
        <v>23</v>
      </c>
      <c r="I13" s="33" t="s">
        <v>149</v>
      </c>
      <c r="J13" s="35" t="s">
        <v>24</v>
      </c>
      <c r="K13" s="35" t="s">
        <v>222</v>
      </c>
      <c r="L13" s="39">
        <v>2.6E-23</v>
      </c>
      <c r="M13" s="35" t="s">
        <v>223</v>
      </c>
      <c r="N13" s="36" t="s">
        <v>97</v>
      </c>
      <c r="O13" s="36" t="s">
        <v>183</v>
      </c>
      <c r="P13" s="36" t="s">
        <v>183</v>
      </c>
      <c r="Q13" s="36" t="s">
        <v>183</v>
      </c>
      <c r="R13" s="37">
        <v>6</v>
      </c>
      <c r="S13" s="37">
        <v>0.23616000000000001</v>
      </c>
      <c r="T13" s="37">
        <v>6</v>
      </c>
      <c r="U13" s="37" t="s">
        <v>183</v>
      </c>
      <c r="V13" s="37" t="s">
        <v>183</v>
      </c>
      <c r="W13" s="37" t="s">
        <v>183</v>
      </c>
      <c r="X13" s="37" t="s">
        <v>183</v>
      </c>
      <c r="Y13" s="37" t="s">
        <v>183</v>
      </c>
      <c r="Z13" s="37" t="s">
        <v>183</v>
      </c>
      <c r="AA13" s="37" t="s">
        <v>184</v>
      </c>
      <c r="AB13" s="33" t="s">
        <v>97</v>
      </c>
      <c r="AC13" s="33" t="s">
        <v>184</v>
      </c>
      <c r="AD13" s="33" t="s">
        <v>184</v>
      </c>
      <c r="AE13" s="33" t="s">
        <v>184</v>
      </c>
      <c r="AF13" s="33" t="s">
        <v>184</v>
      </c>
      <c r="AG13" s="33" t="s">
        <v>184</v>
      </c>
      <c r="AH13" s="33" t="s">
        <v>184</v>
      </c>
      <c r="AI13" s="33" t="s">
        <v>302</v>
      </c>
      <c r="AJ13" s="31" t="s">
        <v>311</v>
      </c>
    </row>
    <row r="14" spans="1:36" ht="88">
      <c r="A14" s="33">
        <v>4</v>
      </c>
      <c r="B14" s="33">
        <v>38802913</v>
      </c>
      <c r="C14" s="40" t="s">
        <v>59</v>
      </c>
      <c r="D14" s="40" t="s">
        <v>56</v>
      </c>
      <c r="E14" s="33" t="s">
        <v>47</v>
      </c>
      <c r="F14" s="33" t="s">
        <v>200</v>
      </c>
      <c r="G14" s="33" t="s">
        <v>30</v>
      </c>
      <c r="H14" s="33" t="s">
        <v>21</v>
      </c>
      <c r="I14" s="33" t="s">
        <v>60</v>
      </c>
      <c r="J14" s="35" t="s">
        <v>24</v>
      </c>
      <c r="K14" s="35" t="s">
        <v>222</v>
      </c>
      <c r="L14" s="39">
        <v>5.0000000000000002E-23</v>
      </c>
      <c r="M14" s="35" t="s">
        <v>223</v>
      </c>
      <c r="N14" s="36" t="s">
        <v>97</v>
      </c>
      <c r="O14" s="36" t="s">
        <v>183</v>
      </c>
      <c r="P14" s="36"/>
      <c r="Q14" s="36" t="s">
        <v>183</v>
      </c>
      <c r="R14" s="37" t="s">
        <v>186</v>
      </c>
      <c r="S14" s="37">
        <v>0.79208999999999996</v>
      </c>
      <c r="T14" s="37">
        <v>9</v>
      </c>
      <c r="U14" s="37" t="s">
        <v>187</v>
      </c>
      <c r="V14" s="37" t="s">
        <v>183</v>
      </c>
      <c r="W14" s="37" t="s">
        <v>183</v>
      </c>
      <c r="X14" s="37" t="s">
        <v>224</v>
      </c>
      <c r="Y14" s="37" t="s">
        <v>225</v>
      </c>
      <c r="Z14" s="37" t="s">
        <v>24</v>
      </c>
      <c r="AA14" s="37" t="s">
        <v>226</v>
      </c>
      <c r="AB14" s="33" t="s">
        <v>97</v>
      </c>
      <c r="AC14" s="33" t="s">
        <v>184</v>
      </c>
      <c r="AD14" s="33" t="s">
        <v>184</v>
      </c>
      <c r="AE14" s="33" t="s">
        <v>184</v>
      </c>
      <c r="AF14" s="33" t="s">
        <v>184</v>
      </c>
      <c r="AG14" s="33" t="s">
        <v>184</v>
      </c>
      <c r="AH14" s="33" t="s">
        <v>184</v>
      </c>
      <c r="AI14" s="33" t="s">
        <v>302</v>
      </c>
      <c r="AJ14" s="31" t="s">
        <v>312</v>
      </c>
    </row>
    <row r="15" spans="1:36" ht="88">
      <c r="A15" s="33">
        <v>4</v>
      </c>
      <c r="B15" s="33">
        <v>38803063</v>
      </c>
      <c r="C15" s="40" t="s">
        <v>61</v>
      </c>
      <c r="D15" s="40" t="s">
        <v>56</v>
      </c>
      <c r="E15" s="33" t="s">
        <v>47</v>
      </c>
      <c r="F15" s="33" t="s">
        <v>200</v>
      </c>
      <c r="G15" s="33" t="s">
        <v>30</v>
      </c>
      <c r="H15" s="33" t="s">
        <v>21</v>
      </c>
      <c r="I15" s="33" t="s">
        <v>60</v>
      </c>
      <c r="J15" s="35" t="s">
        <v>24</v>
      </c>
      <c r="K15" s="35" t="s">
        <v>222</v>
      </c>
      <c r="L15" s="39">
        <v>1.1E-22</v>
      </c>
      <c r="M15" s="35" t="s">
        <v>223</v>
      </c>
      <c r="N15" s="36" t="s">
        <v>24</v>
      </c>
      <c r="O15" s="36" t="s">
        <v>193</v>
      </c>
      <c r="P15" s="36" t="s">
        <v>194</v>
      </c>
      <c r="Q15" s="36" t="s">
        <v>212</v>
      </c>
      <c r="R15" s="37" t="s">
        <v>202</v>
      </c>
      <c r="S15" s="37">
        <v>0.55323999999999995</v>
      </c>
      <c r="T15" s="37">
        <v>10</v>
      </c>
      <c r="U15" s="37" t="s">
        <v>196</v>
      </c>
      <c r="V15" s="37" t="s">
        <v>227</v>
      </c>
      <c r="W15" s="37" t="s">
        <v>203</v>
      </c>
      <c r="X15" s="37" t="s">
        <v>224</v>
      </c>
      <c r="Y15" s="37" t="s">
        <v>228</v>
      </c>
      <c r="Z15" s="37" t="s">
        <v>24</v>
      </c>
      <c r="AA15" s="37" t="s">
        <v>229</v>
      </c>
      <c r="AB15" s="33" t="s">
        <v>97</v>
      </c>
      <c r="AC15" s="33" t="s">
        <v>184</v>
      </c>
      <c r="AD15" s="33" t="s">
        <v>184</v>
      </c>
      <c r="AE15" s="33" t="s">
        <v>184</v>
      </c>
      <c r="AF15" s="33" t="s">
        <v>184</v>
      </c>
      <c r="AG15" s="33" t="s">
        <v>184</v>
      </c>
      <c r="AH15" s="33" t="s">
        <v>184</v>
      </c>
      <c r="AI15" s="33" t="s">
        <v>299</v>
      </c>
      <c r="AJ15" s="31" t="s">
        <v>313</v>
      </c>
    </row>
    <row r="16" spans="1:36" ht="32">
      <c r="A16" s="33">
        <v>4</v>
      </c>
      <c r="B16" s="33">
        <v>38803646</v>
      </c>
      <c r="C16" s="40" t="s">
        <v>63</v>
      </c>
      <c r="D16" s="40" t="s">
        <v>56</v>
      </c>
      <c r="E16" s="33" t="s">
        <v>47</v>
      </c>
      <c r="F16" s="33" t="s">
        <v>200</v>
      </c>
      <c r="G16" s="33" t="s">
        <v>23</v>
      </c>
      <c r="H16" s="33" t="s">
        <v>43</v>
      </c>
      <c r="I16" s="33" t="s">
        <v>53</v>
      </c>
      <c r="J16" s="35" t="s">
        <v>97</v>
      </c>
      <c r="K16" s="35" t="s">
        <v>181</v>
      </c>
      <c r="L16" s="35" t="s">
        <v>182</v>
      </c>
      <c r="M16" s="35" t="s">
        <v>182</v>
      </c>
      <c r="N16" s="36" t="s">
        <v>97</v>
      </c>
      <c r="O16" s="36" t="s">
        <v>183</v>
      </c>
      <c r="P16" s="36" t="s">
        <v>183</v>
      </c>
      <c r="Q16" s="36" t="s">
        <v>183</v>
      </c>
      <c r="R16" s="37">
        <v>7</v>
      </c>
      <c r="S16" s="37">
        <v>0.18412000000000001</v>
      </c>
      <c r="T16" s="37">
        <v>0</v>
      </c>
      <c r="U16" s="37" t="s">
        <v>183</v>
      </c>
      <c r="V16" s="37" t="s">
        <v>183</v>
      </c>
      <c r="W16" s="37" t="s">
        <v>183</v>
      </c>
      <c r="X16" s="37" t="s">
        <v>183</v>
      </c>
      <c r="Y16" s="37" t="s">
        <v>183</v>
      </c>
      <c r="Z16" s="37" t="s">
        <v>183</v>
      </c>
      <c r="AA16" s="37" t="s">
        <v>184</v>
      </c>
      <c r="AB16" s="33" t="s">
        <v>97</v>
      </c>
      <c r="AC16" s="33" t="s">
        <v>184</v>
      </c>
      <c r="AD16" s="33" t="s">
        <v>184</v>
      </c>
      <c r="AE16" s="33" t="s">
        <v>184</v>
      </c>
      <c r="AF16" s="33" t="s">
        <v>184</v>
      </c>
      <c r="AG16" s="33" t="s">
        <v>184</v>
      </c>
      <c r="AH16" s="33" t="s">
        <v>184</v>
      </c>
      <c r="AI16" s="33" t="s">
        <v>303</v>
      </c>
      <c r="AJ16" s="31" t="s">
        <v>305</v>
      </c>
    </row>
    <row r="17" spans="1:36" ht="32">
      <c r="A17" s="33">
        <v>4</v>
      </c>
      <c r="B17" s="33">
        <v>38803784</v>
      </c>
      <c r="C17" s="40" t="s">
        <v>64</v>
      </c>
      <c r="D17" s="40" t="s">
        <v>56</v>
      </c>
      <c r="E17" s="33" t="s">
        <v>47</v>
      </c>
      <c r="F17" s="33" t="s">
        <v>200</v>
      </c>
      <c r="G17" s="33" t="s">
        <v>43</v>
      </c>
      <c r="H17" s="33" t="s">
        <v>23</v>
      </c>
      <c r="I17" s="33" t="s">
        <v>49</v>
      </c>
      <c r="J17" s="35" t="s">
        <v>97</v>
      </c>
      <c r="K17" s="35" t="s">
        <v>181</v>
      </c>
      <c r="L17" s="35" t="s">
        <v>182</v>
      </c>
      <c r="M17" s="35" t="s">
        <v>182</v>
      </c>
      <c r="N17" s="36" t="s">
        <v>97</v>
      </c>
      <c r="O17" s="36" t="s">
        <v>183</v>
      </c>
      <c r="P17" s="36" t="s">
        <v>183</v>
      </c>
      <c r="Q17" s="36" t="s">
        <v>183</v>
      </c>
      <c r="R17" s="37">
        <v>7</v>
      </c>
      <c r="S17" s="37">
        <v>0.18412000000000001</v>
      </c>
      <c r="T17" s="37">
        <v>0</v>
      </c>
      <c r="U17" s="37" t="s">
        <v>183</v>
      </c>
      <c r="V17" s="37" t="s">
        <v>183</v>
      </c>
      <c r="W17" s="37" t="s">
        <v>183</v>
      </c>
      <c r="X17" s="37" t="s">
        <v>183</v>
      </c>
      <c r="Y17" s="37" t="s">
        <v>183</v>
      </c>
      <c r="Z17" s="37" t="s">
        <v>183</v>
      </c>
      <c r="AA17" s="37" t="s">
        <v>184</v>
      </c>
      <c r="AB17" s="33" t="s">
        <v>97</v>
      </c>
      <c r="AC17" s="33" t="s">
        <v>184</v>
      </c>
      <c r="AD17" s="33" t="s">
        <v>184</v>
      </c>
      <c r="AE17" s="33" t="s">
        <v>184</v>
      </c>
      <c r="AF17" s="33" t="s">
        <v>184</v>
      </c>
      <c r="AG17" s="33" t="s">
        <v>184</v>
      </c>
      <c r="AH17" s="33" t="s">
        <v>184</v>
      </c>
      <c r="AI17" s="33" t="s">
        <v>303</v>
      </c>
      <c r="AJ17" s="31" t="s">
        <v>305</v>
      </c>
    </row>
    <row r="18" spans="1:36" ht="64">
      <c r="A18" s="33">
        <v>4</v>
      </c>
      <c r="B18" s="33">
        <v>38804405</v>
      </c>
      <c r="C18" s="40" t="s">
        <v>65</v>
      </c>
      <c r="D18" s="40" t="s">
        <v>56</v>
      </c>
      <c r="E18" s="33" t="s">
        <v>47</v>
      </c>
      <c r="F18" s="33" t="s">
        <v>200</v>
      </c>
      <c r="G18" s="33" t="s">
        <v>43</v>
      </c>
      <c r="H18" s="33" t="s">
        <v>23</v>
      </c>
      <c r="I18" s="33" t="s">
        <v>49</v>
      </c>
      <c r="J18" s="35" t="s">
        <v>97</v>
      </c>
      <c r="K18" s="35" t="s">
        <v>181</v>
      </c>
      <c r="L18" s="35" t="s">
        <v>182</v>
      </c>
      <c r="M18" s="35" t="s">
        <v>182</v>
      </c>
      <c r="N18" s="36" t="s">
        <v>97</v>
      </c>
      <c r="O18" s="36" t="s">
        <v>183</v>
      </c>
      <c r="P18" s="36" t="s">
        <v>183</v>
      </c>
      <c r="Q18" s="36" t="s">
        <v>183</v>
      </c>
      <c r="R18" s="37">
        <v>4</v>
      </c>
      <c r="S18" s="37">
        <v>0.60906000000000005</v>
      </c>
      <c r="T18" s="37">
        <v>71</v>
      </c>
      <c r="U18" s="37" t="s">
        <v>187</v>
      </c>
      <c r="V18" s="37" t="s">
        <v>183</v>
      </c>
      <c r="W18" s="37" t="s">
        <v>183</v>
      </c>
      <c r="X18" s="37" t="s">
        <v>230</v>
      </c>
      <c r="Y18" s="37" t="s">
        <v>231</v>
      </c>
      <c r="Z18" s="37" t="s">
        <v>24</v>
      </c>
      <c r="AA18" s="37" t="s">
        <v>232</v>
      </c>
      <c r="AB18" s="33" t="s">
        <v>97</v>
      </c>
      <c r="AC18" s="33" t="s">
        <v>184</v>
      </c>
      <c r="AD18" s="33" t="s">
        <v>184</v>
      </c>
      <c r="AE18" s="33" t="s">
        <v>184</v>
      </c>
      <c r="AF18" s="33" t="s">
        <v>184</v>
      </c>
      <c r="AG18" s="33" t="s">
        <v>184</v>
      </c>
      <c r="AH18" s="33" t="s">
        <v>184</v>
      </c>
      <c r="AI18" s="33" t="s">
        <v>302</v>
      </c>
      <c r="AJ18" s="31" t="s">
        <v>314</v>
      </c>
    </row>
    <row r="19" spans="1:36" ht="88">
      <c r="A19" s="33">
        <v>4</v>
      </c>
      <c r="B19" s="33">
        <v>38805489</v>
      </c>
      <c r="C19" s="40" t="s">
        <v>67</v>
      </c>
      <c r="D19" s="40" t="s">
        <v>56</v>
      </c>
      <c r="E19" s="33" t="s">
        <v>47</v>
      </c>
      <c r="F19" s="33" t="s">
        <v>200</v>
      </c>
      <c r="G19" s="33" t="s">
        <v>43</v>
      </c>
      <c r="H19" s="33" t="s">
        <v>23</v>
      </c>
      <c r="I19" s="33" t="s">
        <v>49</v>
      </c>
      <c r="J19" s="35" t="s">
        <v>24</v>
      </c>
      <c r="K19" s="35" t="s">
        <v>222</v>
      </c>
      <c r="L19" s="39">
        <v>5.0000000000000002E-23</v>
      </c>
      <c r="M19" s="35" t="s">
        <v>223</v>
      </c>
      <c r="N19" s="36" t="s">
        <v>24</v>
      </c>
      <c r="O19" s="36" t="s">
        <v>193</v>
      </c>
      <c r="P19" s="36" t="s">
        <v>194</v>
      </c>
      <c r="Q19" s="36" t="s">
        <v>212</v>
      </c>
      <c r="R19" s="37">
        <v>4</v>
      </c>
      <c r="S19" s="37">
        <v>0.60906000000000005</v>
      </c>
      <c r="T19" s="37">
        <v>17</v>
      </c>
      <c r="U19" s="37" t="s">
        <v>187</v>
      </c>
      <c r="V19" s="37" t="s">
        <v>183</v>
      </c>
      <c r="W19" s="37" t="s">
        <v>183</v>
      </c>
      <c r="X19" s="37" t="s">
        <v>233</v>
      </c>
      <c r="Y19" s="37" t="s">
        <v>234</v>
      </c>
      <c r="Z19" s="37" t="s">
        <v>24</v>
      </c>
      <c r="AA19" s="37" t="s">
        <v>235</v>
      </c>
      <c r="AB19" s="33" t="s">
        <v>97</v>
      </c>
      <c r="AC19" s="33" t="s">
        <v>184</v>
      </c>
      <c r="AD19" s="33" t="s">
        <v>184</v>
      </c>
      <c r="AE19" s="33" t="s">
        <v>184</v>
      </c>
      <c r="AF19" s="33" t="s">
        <v>184</v>
      </c>
      <c r="AG19" s="33" t="s">
        <v>184</v>
      </c>
      <c r="AH19" s="33" t="s">
        <v>184</v>
      </c>
      <c r="AI19" s="33" t="s">
        <v>299</v>
      </c>
      <c r="AJ19" s="31" t="s">
        <v>315</v>
      </c>
    </row>
    <row r="20" spans="1:36" ht="66">
      <c r="A20" s="33">
        <v>4</v>
      </c>
      <c r="B20" s="33">
        <v>38805983</v>
      </c>
      <c r="C20" s="40" t="s">
        <v>69</v>
      </c>
      <c r="D20" s="40" t="s">
        <v>56</v>
      </c>
      <c r="E20" s="33" t="s">
        <v>45</v>
      </c>
      <c r="F20" s="33" t="s">
        <v>191</v>
      </c>
      <c r="G20" s="33" t="s">
        <v>23</v>
      </c>
      <c r="H20" s="33" t="s">
        <v>43</v>
      </c>
      <c r="I20" s="33" t="s">
        <v>53</v>
      </c>
      <c r="J20" s="35" t="s">
        <v>97</v>
      </c>
      <c r="K20" s="35" t="s">
        <v>181</v>
      </c>
      <c r="L20" s="35" t="s">
        <v>182</v>
      </c>
      <c r="M20" s="35" t="s">
        <v>182</v>
      </c>
      <c r="N20" s="36" t="s">
        <v>24</v>
      </c>
      <c r="O20" s="36" t="s">
        <v>193</v>
      </c>
      <c r="P20" s="36" t="s">
        <v>194</v>
      </c>
      <c r="Q20" s="36" t="s">
        <v>212</v>
      </c>
      <c r="R20" s="37" t="s">
        <v>236</v>
      </c>
      <c r="S20" s="37">
        <v>0.97048999999999996</v>
      </c>
      <c r="T20" s="37">
        <v>58</v>
      </c>
      <c r="U20" s="37" t="s">
        <v>196</v>
      </c>
      <c r="V20" s="37" t="s">
        <v>197</v>
      </c>
      <c r="W20" s="37" t="s">
        <v>203</v>
      </c>
      <c r="X20" s="37" t="s">
        <v>237</v>
      </c>
      <c r="Y20" s="37" t="s">
        <v>238</v>
      </c>
      <c r="Z20" s="37" t="s">
        <v>24</v>
      </c>
      <c r="AA20" s="37" t="s">
        <v>239</v>
      </c>
      <c r="AB20" s="33" t="s">
        <v>97</v>
      </c>
      <c r="AC20" s="33" t="s">
        <v>184</v>
      </c>
      <c r="AD20" s="33" t="s">
        <v>184</v>
      </c>
      <c r="AE20" s="33" t="s">
        <v>184</v>
      </c>
      <c r="AF20" s="33" t="s">
        <v>184</v>
      </c>
      <c r="AG20" s="33" t="s">
        <v>184</v>
      </c>
      <c r="AH20" s="33" t="s">
        <v>184</v>
      </c>
      <c r="AI20" s="33" t="s">
        <v>299</v>
      </c>
      <c r="AJ20" s="31" t="s">
        <v>316</v>
      </c>
    </row>
    <row r="21" spans="1:36" ht="88">
      <c r="A21" s="33">
        <v>4</v>
      </c>
      <c r="B21" s="33">
        <v>38806019</v>
      </c>
      <c r="C21" s="40" t="s">
        <v>70</v>
      </c>
      <c r="D21" s="40" t="s">
        <v>56</v>
      </c>
      <c r="E21" s="33" t="s">
        <v>72</v>
      </c>
      <c r="F21" s="33" t="s">
        <v>240</v>
      </c>
      <c r="G21" s="33" t="s">
        <v>30</v>
      </c>
      <c r="H21" s="33" t="s">
        <v>21</v>
      </c>
      <c r="I21" s="33" t="s">
        <v>60</v>
      </c>
      <c r="J21" s="35" t="s">
        <v>24</v>
      </c>
      <c r="K21" s="35" t="s">
        <v>56</v>
      </c>
      <c r="L21" s="39">
        <v>2.6E-23</v>
      </c>
      <c r="M21" s="35" t="s">
        <v>223</v>
      </c>
      <c r="N21" s="36" t="s">
        <v>24</v>
      </c>
      <c r="O21" s="36" t="s">
        <v>193</v>
      </c>
      <c r="P21" s="36" t="s">
        <v>194</v>
      </c>
      <c r="Q21" s="36" t="s">
        <v>212</v>
      </c>
      <c r="R21" s="37" t="s">
        <v>241</v>
      </c>
      <c r="S21" s="37">
        <v>0.50083</v>
      </c>
      <c r="T21" s="37">
        <v>215</v>
      </c>
      <c r="U21" s="37" t="s">
        <v>196</v>
      </c>
      <c r="V21" s="37" t="s">
        <v>197</v>
      </c>
      <c r="W21" s="37" t="s">
        <v>203</v>
      </c>
      <c r="X21" s="37" t="s">
        <v>242</v>
      </c>
      <c r="Y21" s="37" t="s">
        <v>238</v>
      </c>
      <c r="Z21" s="37" t="s">
        <v>24</v>
      </c>
      <c r="AA21" s="37" t="s">
        <v>243</v>
      </c>
      <c r="AB21" s="33" t="s">
        <v>97</v>
      </c>
      <c r="AC21" s="33" t="s">
        <v>184</v>
      </c>
      <c r="AD21" s="33" t="s">
        <v>184</v>
      </c>
      <c r="AE21" s="33" t="s">
        <v>184</v>
      </c>
      <c r="AF21" s="33" t="s">
        <v>184</v>
      </c>
      <c r="AG21" s="33" t="s">
        <v>184</v>
      </c>
      <c r="AH21" s="33" t="s">
        <v>184</v>
      </c>
      <c r="AI21" s="33" t="s">
        <v>299</v>
      </c>
      <c r="AJ21" s="31" t="s">
        <v>317</v>
      </c>
    </row>
    <row r="22" spans="1:36" ht="88">
      <c r="A22" s="33">
        <v>4</v>
      </c>
      <c r="B22" s="33">
        <v>38806096</v>
      </c>
      <c r="C22" s="40" t="s">
        <v>73</v>
      </c>
      <c r="D22" s="40" t="s">
        <v>56</v>
      </c>
      <c r="E22" s="33" t="s">
        <v>47</v>
      </c>
      <c r="F22" s="33" t="s">
        <v>200</v>
      </c>
      <c r="G22" s="33" t="s">
        <v>23</v>
      </c>
      <c r="H22" s="33" t="s">
        <v>43</v>
      </c>
      <c r="I22" s="33" t="s">
        <v>53</v>
      </c>
      <c r="J22" s="35" t="s">
        <v>24</v>
      </c>
      <c r="K22" s="35" t="s">
        <v>56</v>
      </c>
      <c r="L22" s="39">
        <v>2.6E-23</v>
      </c>
      <c r="M22" s="35" t="s">
        <v>223</v>
      </c>
      <c r="N22" s="36" t="s">
        <v>24</v>
      </c>
      <c r="O22" s="36" t="s">
        <v>193</v>
      </c>
      <c r="P22" s="36" t="s">
        <v>194</v>
      </c>
      <c r="Q22" s="36" t="s">
        <v>212</v>
      </c>
      <c r="R22" s="37">
        <v>4</v>
      </c>
      <c r="S22" s="37">
        <v>0.60906000000000005</v>
      </c>
      <c r="T22" s="37">
        <v>184</v>
      </c>
      <c r="U22" s="37" t="s">
        <v>244</v>
      </c>
      <c r="V22" s="37" t="s">
        <v>183</v>
      </c>
      <c r="W22" s="37" t="s">
        <v>183</v>
      </c>
      <c r="X22" s="37" t="s">
        <v>245</v>
      </c>
      <c r="Y22" s="37" t="s">
        <v>238</v>
      </c>
      <c r="Z22" s="37" t="s">
        <v>24</v>
      </c>
      <c r="AA22" s="37" t="s">
        <v>243</v>
      </c>
      <c r="AB22" s="33" t="s">
        <v>97</v>
      </c>
      <c r="AC22" s="33" t="s">
        <v>184</v>
      </c>
      <c r="AD22" s="33" t="s">
        <v>184</v>
      </c>
      <c r="AE22" s="33" t="s">
        <v>184</v>
      </c>
      <c r="AF22" s="33" t="s">
        <v>184</v>
      </c>
      <c r="AG22" s="33" t="s">
        <v>184</v>
      </c>
      <c r="AH22" s="33" t="s">
        <v>184</v>
      </c>
      <c r="AI22" s="33" t="s">
        <v>299</v>
      </c>
      <c r="AJ22" s="31" t="s">
        <v>315</v>
      </c>
    </row>
    <row r="23" spans="1:36" ht="88">
      <c r="A23" s="33">
        <v>4</v>
      </c>
      <c r="B23" s="33">
        <v>38806200</v>
      </c>
      <c r="C23" s="40" t="s">
        <v>74</v>
      </c>
      <c r="D23" s="40" t="s">
        <v>56</v>
      </c>
      <c r="E23" s="33" t="s">
        <v>47</v>
      </c>
      <c r="F23" s="33" t="s">
        <v>200</v>
      </c>
      <c r="G23" s="33" t="s">
        <v>21</v>
      </c>
      <c r="H23" s="33" t="s">
        <v>23</v>
      </c>
      <c r="I23" s="33" t="s">
        <v>149</v>
      </c>
      <c r="J23" s="35" t="s">
        <v>24</v>
      </c>
      <c r="K23" s="35" t="s">
        <v>56</v>
      </c>
      <c r="L23" s="39">
        <v>2.6E-23</v>
      </c>
      <c r="M23" s="35" t="s">
        <v>223</v>
      </c>
      <c r="N23" s="36" t="s">
        <v>97</v>
      </c>
      <c r="O23" s="36" t="s">
        <v>183</v>
      </c>
      <c r="P23" s="36" t="s">
        <v>183</v>
      </c>
      <c r="Q23" s="36" t="s">
        <v>183</v>
      </c>
      <c r="R23" s="37">
        <v>4</v>
      </c>
      <c r="S23" s="37">
        <v>0.60906000000000005</v>
      </c>
      <c r="T23" s="37">
        <v>113</v>
      </c>
      <c r="U23" s="37" t="s">
        <v>244</v>
      </c>
      <c r="V23" s="37" t="s">
        <v>183</v>
      </c>
      <c r="W23" s="37" t="s">
        <v>183</v>
      </c>
      <c r="X23" s="37" t="s">
        <v>245</v>
      </c>
      <c r="Y23" s="37" t="s">
        <v>238</v>
      </c>
      <c r="Z23" s="37" t="s">
        <v>24</v>
      </c>
      <c r="AA23" s="37" t="s">
        <v>246</v>
      </c>
      <c r="AB23" s="33" t="s">
        <v>97</v>
      </c>
      <c r="AC23" s="33" t="s">
        <v>184</v>
      </c>
      <c r="AD23" s="33" t="s">
        <v>184</v>
      </c>
      <c r="AE23" s="33" t="s">
        <v>184</v>
      </c>
      <c r="AF23" s="33" t="s">
        <v>184</v>
      </c>
      <c r="AG23" s="33" t="s">
        <v>184</v>
      </c>
      <c r="AH23" s="33" t="s">
        <v>184</v>
      </c>
      <c r="AI23" s="33" t="s">
        <v>302</v>
      </c>
      <c r="AJ23" s="31" t="s">
        <v>318</v>
      </c>
    </row>
    <row r="24" spans="1:36" ht="64">
      <c r="A24" s="33">
        <v>4</v>
      </c>
      <c r="B24" s="33">
        <v>38806827</v>
      </c>
      <c r="C24" s="40" t="s">
        <v>75</v>
      </c>
      <c r="D24" s="40" t="s">
        <v>56</v>
      </c>
      <c r="E24" s="33" t="s">
        <v>32</v>
      </c>
      <c r="F24" s="33" t="s">
        <v>180</v>
      </c>
      <c r="G24" s="33" t="s">
        <v>21</v>
      </c>
      <c r="H24" s="33" t="s">
        <v>30</v>
      </c>
      <c r="I24" s="33" t="s">
        <v>39</v>
      </c>
      <c r="J24" s="35" t="s">
        <v>97</v>
      </c>
      <c r="K24" s="35" t="s">
        <v>181</v>
      </c>
      <c r="L24" s="35" t="s">
        <v>182</v>
      </c>
      <c r="M24" s="35" t="s">
        <v>182</v>
      </c>
      <c r="N24" s="36" t="s">
        <v>24</v>
      </c>
      <c r="O24" s="36" t="s">
        <v>193</v>
      </c>
      <c r="P24" s="36" t="s">
        <v>194</v>
      </c>
      <c r="Q24" s="36" t="s">
        <v>212</v>
      </c>
      <c r="R24" s="37" t="s">
        <v>202</v>
      </c>
      <c r="S24" s="37">
        <v>0.55435999999999996</v>
      </c>
      <c r="T24" s="37">
        <v>51</v>
      </c>
      <c r="U24" s="37" t="s">
        <v>196</v>
      </c>
      <c r="V24" s="37" t="s">
        <v>197</v>
      </c>
      <c r="W24" s="37" t="s">
        <v>203</v>
      </c>
      <c r="X24" s="37" t="s">
        <v>247</v>
      </c>
      <c r="Y24" s="37" t="s">
        <v>248</v>
      </c>
      <c r="Z24" s="37" t="s">
        <v>24</v>
      </c>
      <c r="AA24" s="37" t="s">
        <v>249</v>
      </c>
      <c r="AB24" s="33" t="s">
        <v>24</v>
      </c>
      <c r="AC24" s="31" t="s">
        <v>250</v>
      </c>
      <c r="AD24" s="31" t="s">
        <v>251</v>
      </c>
      <c r="AE24" s="31" t="s">
        <v>252</v>
      </c>
      <c r="AF24" s="31" t="s">
        <v>253</v>
      </c>
      <c r="AG24" s="31" t="s">
        <v>254</v>
      </c>
      <c r="AH24" s="31" t="s">
        <v>255</v>
      </c>
      <c r="AI24" s="33" t="s">
        <v>299</v>
      </c>
      <c r="AJ24" s="31" t="s">
        <v>319</v>
      </c>
    </row>
    <row r="25" spans="1:36" ht="66">
      <c r="A25" s="33">
        <v>4</v>
      </c>
      <c r="B25" s="33">
        <v>38806851</v>
      </c>
      <c r="C25" s="40" t="s">
        <v>76</v>
      </c>
      <c r="D25" s="40" t="s">
        <v>56</v>
      </c>
      <c r="E25" s="33" t="s">
        <v>32</v>
      </c>
      <c r="F25" s="33" t="s">
        <v>180</v>
      </c>
      <c r="G25" s="33" t="s">
        <v>30</v>
      </c>
      <c r="H25" s="33" t="s">
        <v>21</v>
      </c>
      <c r="I25" s="33" t="s">
        <v>60</v>
      </c>
      <c r="J25" s="35" t="s">
        <v>97</v>
      </c>
      <c r="K25" s="35" t="s">
        <v>181</v>
      </c>
      <c r="L25" s="35" t="s">
        <v>182</v>
      </c>
      <c r="M25" s="35" t="s">
        <v>182</v>
      </c>
      <c r="N25" s="36" t="s">
        <v>97</v>
      </c>
      <c r="O25" s="36" t="s">
        <v>183</v>
      </c>
      <c r="P25" s="36" t="s">
        <v>183</v>
      </c>
      <c r="Q25" s="36" t="s">
        <v>183</v>
      </c>
      <c r="R25" s="37">
        <v>4</v>
      </c>
      <c r="S25" s="37">
        <v>0.60906000000000005</v>
      </c>
      <c r="T25" s="37">
        <v>39</v>
      </c>
      <c r="U25" s="37" t="s">
        <v>187</v>
      </c>
      <c r="V25" s="37" t="s">
        <v>183</v>
      </c>
      <c r="W25" s="37" t="s">
        <v>183</v>
      </c>
      <c r="X25" s="37" t="s">
        <v>256</v>
      </c>
      <c r="Y25" s="37" t="s">
        <v>238</v>
      </c>
      <c r="Z25" s="37" t="s">
        <v>24</v>
      </c>
      <c r="AA25" s="37" t="s">
        <v>246</v>
      </c>
      <c r="AB25" s="33" t="s">
        <v>97</v>
      </c>
      <c r="AC25" s="33" t="s">
        <v>184</v>
      </c>
      <c r="AD25" s="33" t="s">
        <v>184</v>
      </c>
      <c r="AE25" s="33" t="s">
        <v>184</v>
      </c>
      <c r="AF25" s="33" t="s">
        <v>184</v>
      </c>
      <c r="AG25" s="33" t="s">
        <v>184</v>
      </c>
      <c r="AH25" s="33" t="s">
        <v>184</v>
      </c>
      <c r="AI25" s="33" t="s">
        <v>302</v>
      </c>
      <c r="AJ25" s="31" t="s">
        <v>320</v>
      </c>
    </row>
    <row r="26" spans="1:36" ht="88">
      <c r="A26" s="33">
        <v>4</v>
      </c>
      <c r="B26" s="33">
        <v>38807328</v>
      </c>
      <c r="C26" s="40" t="s">
        <v>77</v>
      </c>
      <c r="D26" s="40" t="s">
        <v>56</v>
      </c>
      <c r="E26" s="33" t="s">
        <v>32</v>
      </c>
      <c r="F26" s="33" t="s">
        <v>180</v>
      </c>
      <c r="G26" s="33" t="s">
        <v>30</v>
      </c>
      <c r="H26" s="33" t="s">
        <v>21</v>
      </c>
      <c r="I26" s="33" t="s">
        <v>60</v>
      </c>
      <c r="J26" s="35" t="s">
        <v>24</v>
      </c>
      <c r="K26" s="35" t="s">
        <v>56</v>
      </c>
      <c r="L26" s="35" t="s">
        <v>257</v>
      </c>
      <c r="M26" s="35" t="s">
        <v>223</v>
      </c>
      <c r="N26" s="36" t="s">
        <v>97</v>
      </c>
      <c r="O26" s="36" t="s">
        <v>183</v>
      </c>
      <c r="P26" s="36" t="s">
        <v>183</v>
      </c>
      <c r="Q26" s="36" t="s">
        <v>183</v>
      </c>
      <c r="R26" s="37">
        <v>4</v>
      </c>
      <c r="S26" s="37">
        <v>0.60906000000000005</v>
      </c>
      <c r="T26" s="37">
        <v>327</v>
      </c>
      <c r="U26" s="37" t="s">
        <v>187</v>
      </c>
      <c r="V26" s="37" t="s">
        <v>183</v>
      </c>
      <c r="W26" s="37" t="s">
        <v>183</v>
      </c>
      <c r="X26" s="37" t="s">
        <v>258</v>
      </c>
      <c r="Y26" s="37" t="s">
        <v>259</v>
      </c>
      <c r="Z26" s="37" t="s">
        <v>24</v>
      </c>
      <c r="AA26" s="37" t="s">
        <v>260</v>
      </c>
      <c r="AB26" s="33" t="s">
        <v>97</v>
      </c>
      <c r="AC26" s="33" t="s">
        <v>184</v>
      </c>
      <c r="AD26" s="33" t="s">
        <v>184</v>
      </c>
      <c r="AE26" s="33" t="s">
        <v>184</v>
      </c>
      <c r="AF26" s="33" t="s">
        <v>184</v>
      </c>
      <c r="AG26" s="33" t="s">
        <v>184</v>
      </c>
      <c r="AH26" s="33" t="s">
        <v>184</v>
      </c>
      <c r="AI26" s="33" t="s">
        <v>302</v>
      </c>
      <c r="AJ26" s="31" t="s">
        <v>318</v>
      </c>
    </row>
    <row r="27" spans="1:36" ht="88">
      <c r="A27" s="33">
        <v>4</v>
      </c>
      <c r="B27" s="33">
        <v>38808045</v>
      </c>
      <c r="C27" s="40" t="s">
        <v>78</v>
      </c>
      <c r="D27" s="40" t="s">
        <v>56</v>
      </c>
      <c r="E27" s="33" t="s">
        <v>32</v>
      </c>
      <c r="F27" s="33" t="s">
        <v>180</v>
      </c>
      <c r="G27" s="33" t="s">
        <v>30</v>
      </c>
      <c r="H27" s="33" t="s">
        <v>23</v>
      </c>
      <c r="I27" s="33" t="s">
        <v>101</v>
      </c>
      <c r="J27" s="35" t="s">
        <v>24</v>
      </c>
      <c r="K27" s="35" t="s">
        <v>56</v>
      </c>
      <c r="L27" s="39">
        <v>5.3999999999999997E-23</v>
      </c>
      <c r="M27" s="35" t="s">
        <v>223</v>
      </c>
      <c r="N27" s="36" t="s">
        <v>97</v>
      </c>
      <c r="O27" s="36" t="s">
        <v>183</v>
      </c>
      <c r="P27" s="36" t="s">
        <v>183</v>
      </c>
      <c r="Q27" s="36" t="s">
        <v>183</v>
      </c>
      <c r="R27" s="37">
        <v>4</v>
      </c>
      <c r="S27" s="37">
        <v>0.60906000000000005</v>
      </c>
      <c r="T27" s="37">
        <v>6</v>
      </c>
      <c r="U27" s="37" t="s">
        <v>187</v>
      </c>
      <c r="V27" s="37" t="s">
        <v>183</v>
      </c>
      <c r="W27" s="37" t="s">
        <v>183</v>
      </c>
      <c r="X27" s="37" t="s">
        <v>188</v>
      </c>
      <c r="Y27" s="37" t="s">
        <v>238</v>
      </c>
      <c r="Z27" s="37" t="s">
        <v>24</v>
      </c>
      <c r="AA27" s="37" t="s">
        <v>261</v>
      </c>
      <c r="AB27" s="33" t="s">
        <v>97</v>
      </c>
      <c r="AC27" s="33" t="s">
        <v>184</v>
      </c>
      <c r="AD27" s="33" t="s">
        <v>184</v>
      </c>
      <c r="AE27" s="33" t="s">
        <v>184</v>
      </c>
      <c r="AF27" s="33" t="s">
        <v>184</v>
      </c>
      <c r="AG27" s="33" t="s">
        <v>184</v>
      </c>
      <c r="AH27" s="33" t="s">
        <v>184</v>
      </c>
      <c r="AI27" s="33" t="s">
        <v>302</v>
      </c>
      <c r="AJ27" s="31" t="s">
        <v>318</v>
      </c>
    </row>
    <row r="28" spans="1:36" ht="48">
      <c r="A28" s="33">
        <v>4</v>
      </c>
      <c r="B28" s="33">
        <v>38808585</v>
      </c>
      <c r="C28" s="40" t="s">
        <v>79</v>
      </c>
      <c r="D28" s="40" t="s">
        <v>56</v>
      </c>
      <c r="E28" s="33" t="s">
        <v>32</v>
      </c>
      <c r="F28" s="33" t="s">
        <v>180</v>
      </c>
      <c r="G28" s="33" t="s">
        <v>21</v>
      </c>
      <c r="H28" s="33" t="s">
        <v>43</v>
      </c>
      <c r="I28" s="33" t="s">
        <v>91</v>
      </c>
      <c r="J28" s="35" t="s">
        <v>97</v>
      </c>
      <c r="K28" s="35" t="s">
        <v>181</v>
      </c>
      <c r="L28" s="35" t="s">
        <v>182</v>
      </c>
      <c r="M28" s="35" t="s">
        <v>182</v>
      </c>
      <c r="N28" s="36" t="s">
        <v>97</v>
      </c>
      <c r="O28" s="36" t="s">
        <v>183</v>
      </c>
      <c r="P28" s="36" t="s">
        <v>183</v>
      </c>
      <c r="Q28" s="36" t="s">
        <v>183</v>
      </c>
      <c r="R28" s="37" t="s">
        <v>186</v>
      </c>
      <c r="S28" s="37">
        <v>0.82269999999999999</v>
      </c>
      <c r="T28" s="37">
        <v>4</v>
      </c>
      <c r="U28" s="37" t="s">
        <v>187</v>
      </c>
      <c r="V28" s="37" t="s">
        <v>183</v>
      </c>
      <c r="W28" s="37" t="s">
        <v>183</v>
      </c>
      <c r="X28" s="37" t="s">
        <v>188</v>
      </c>
      <c r="Y28" s="37" t="s">
        <v>262</v>
      </c>
      <c r="Z28" s="37" t="s">
        <v>24</v>
      </c>
      <c r="AA28" s="37" t="s">
        <v>263</v>
      </c>
      <c r="AB28" s="33" t="s">
        <v>97</v>
      </c>
      <c r="AC28" s="33" t="s">
        <v>184</v>
      </c>
      <c r="AD28" s="33" t="s">
        <v>184</v>
      </c>
      <c r="AE28" s="33" t="s">
        <v>184</v>
      </c>
      <c r="AF28" s="33" t="s">
        <v>184</v>
      </c>
      <c r="AG28" s="33" t="s">
        <v>184</v>
      </c>
      <c r="AH28" s="33" t="s">
        <v>184</v>
      </c>
      <c r="AI28" s="33" t="s">
        <v>302</v>
      </c>
      <c r="AJ28" s="31" t="s">
        <v>321</v>
      </c>
    </row>
    <row r="29" spans="1:36" ht="32">
      <c r="A29" s="33">
        <v>4</v>
      </c>
      <c r="B29" s="33">
        <v>38808613</v>
      </c>
      <c r="C29" s="40" t="s">
        <v>81</v>
      </c>
      <c r="D29" s="40" t="s">
        <v>56</v>
      </c>
      <c r="E29" s="33" t="s">
        <v>32</v>
      </c>
      <c r="F29" s="33" t="s">
        <v>180</v>
      </c>
      <c r="G29" s="33" t="s">
        <v>21</v>
      </c>
      <c r="H29" s="33" t="s">
        <v>30</v>
      </c>
      <c r="I29" s="33" t="s">
        <v>39</v>
      </c>
      <c r="J29" s="35" t="s">
        <v>97</v>
      </c>
      <c r="K29" s="35" t="s">
        <v>181</v>
      </c>
      <c r="L29" s="35" t="s">
        <v>182</v>
      </c>
      <c r="M29" s="35" t="s">
        <v>182</v>
      </c>
      <c r="N29" s="36" t="s">
        <v>97</v>
      </c>
      <c r="O29" s="36" t="s">
        <v>183</v>
      </c>
      <c r="P29" s="36" t="s">
        <v>183</v>
      </c>
      <c r="Q29" s="36" t="s">
        <v>183</v>
      </c>
      <c r="R29" s="37">
        <v>5</v>
      </c>
      <c r="S29" s="37">
        <v>0.88556000000000001</v>
      </c>
      <c r="T29" s="37">
        <v>6</v>
      </c>
      <c r="U29" s="37" t="s">
        <v>183</v>
      </c>
      <c r="V29" s="37" t="s">
        <v>183</v>
      </c>
      <c r="W29" s="37" t="s">
        <v>183</v>
      </c>
      <c r="X29" s="41" t="s">
        <v>183</v>
      </c>
      <c r="Y29" s="37" t="s">
        <v>183</v>
      </c>
      <c r="Z29" s="37" t="s">
        <v>183</v>
      </c>
      <c r="AA29" s="37" t="s">
        <v>184</v>
      </c>
      <c r="AB29" s="33" t="s">
        <v>97</v>
      </c>
      <c r="AC29" s="33" t="s">
        <v>184</v>
      </c>
      <c r="AD29" s="33" t="s">
        <v>184</v>
      </c>
      <c r="AE29" s="33" t="s">
        <v>184</v>
      </c>
      <c r="AF29" s="33" t="s">
        <v>184</v>
      </c>
      <c r="AG29" s="33" t="s">
        <v>184</v>
      </c>
      <c r="AH29" s="33" t="s">
        <v>184</v>
      </c>
      <c r="AI29" s="33" t="s">
        <v>303</v>
      </c>
      <c r="AJ29" s="31" t="s">
        <v>305</v>
      </c>
    </row>
    <row r="30" spans="1:36" ht="32">
      <c r="A30" s="33">
        <v>4</v>
      </c>
      <c r="B30" s="33">
        <v>38809924</v>
      </c>
      <c r="C30" s="40" t="s">
        <v>82</v>
      </c>
      <c r="D30" s="40" t="s">
        <v>56</v>
      </c>
      <c r="E30" s="33" t="s">
        <v>32</v>
      </c>
      <c r="F30" s="33" t="s">
        <v>180</v>
      </c>
      <c r="G30" s="33" t="s">
        <v>21</v>
      </c>
      <c r="H30" s="33" t="s">
        <v>30</v>
      </c>
      <c r="I30" s="33" t="s">
        <v>39</v>
      </c>
      <c r="J30" s="35" t="s">
        <v>97</v>
      </c>
      <c r="K30" s="35" t="s">
        <v>181</v>
      </c>
      <c r="L30" s="35" t="s">
        <v>182</v>
      </c>
      <c r="M30" s="35" t="s">
        <v>182</v>
      </c>
      <c r="N30" s="36" t="s">
        <v>97</v>
      </c>
      <c r="O30" s="36" t="s">
        <v>183</v>
      </c>
      <c r="P30" s="36" t="s">
        <v>183</v>
      </c>
      <c r="Q30" s="36" t="s">
        <v>183</v>
      </c>
      <c r="R30" s="37">
        <v>6</v>
      </c>
      <c r="S30" s="37">
        <v>0.20075000000000001</v>
      </c>
      <c r="T30" s="37">
        <v>3</v>
      </c>
      <c r="U30" s="37" t="s">
        <v>183</v>
      </c>
      <c r="V30" s="37" t="s">
        <v>183</v>
      </c>
      <c r="W30" s="37" t="s">
        <v>183</v>
      </c>
      <c r="X30" s="37" t="s">
        <v>183</v>
      </c>
      <c r="Y30" s="37" t="s">
        <v>183</v>
      </c>
      <c r="Z30" s="37" t="s">
        <v>183</v>
      </c>
      <c r="AA30" s="37" t="s">
        <v>184</v>
      </c>
      <c r="AB30" s="33" t="s">
        <v>97</v>
      </c>
      <c r="AC30" s="33" t="s">
        <v>184</v>
      </c>
      <c r="AD30" s="33" t="s">
        <v>184</v>
      </c>
      <c r="AE30" s="33" t="s">
        <v>184</v>
      </c>
      <c r="AF30" s="33" t="s">
        <v>184</v>
      </c>
      <c r="AG30" s="33" t="s">
        <v>184</v>
      </c>
      <c r="AH30" s="33" t="s">
        <v>184</v>
      </c>
      <c r="AI30" s="33" t="s">
        <v>303</v>
      </c>
      <c r="AJ30" s="31" t="s">
        <v>305</v>
      </c>
    </row>
    <row r="31" spans="1:36" ht="32">
      <c r="A31" s="33">
        <v>4</v>
      </c>
      <c r="B31" s="33">
        <v>38810444</v>
      </c>
      <c r="C31" s="40" t="s">
        <v>83</v>
      </c>
      <c r="D31" s="40" t="s">
        <v>56</v>
      </c>
      <c r="E31" s="33" t="s">
        <v>32</v>
      </c>
      <c r="F31" s="33" t="s">
        <v>180</v>
      </c>
      <c r="G31" s="33" t="s">
        <v>43</v>
      </c>
      <c r="H31" s="33" t="s">
        <v>23</v>
      </c>
      <c r="I31" s="33" t="s">
        <v>49</v>
      </c>
      <c r="J31" s="35" t="s">
        <v>97</v>
      </c>
      <c r="K31" s="35" t="s">
        <v>181</v>
      </c>
      <c r="L31" s="35" t="s">
        <v>182</v>
      </c>
      <c r="M31" s="35" t="s">
        <v>182</v>
      </c>
      <c r="N31" s="36" t="s">
        <v>97</v>
      </c>
      <c r="O31" s="36" t="s">
        <v>183</v>
      </c>
      <c r="P31" s="36" t="s">
        <v>183</v>
      </c>
      <c r="Q31" s="36" t="s">
        <v>183</v>
      </c>
      <c r="R31" s="37">
        <v>7</v>
      </c>
      <c r="S31" s="37">
        <v>0.18412000000000001</v>
      </c>
      <c r="T31" s="37">
        <v>0</v>
      </c>
      <c r="U31" s="37" t="s">
        <v>183</v>
      </c>
      <c r="V31" s="37" t="s">
        <v>183</v>
      </c>
      <c r="W31" s="37" t="s">
        <v>183</v>
      </c>
      <c r="X31" s="37" t="s">
        <v>183</v>
      </c>
      <c r="Y31" s="37" t="s">
        <v>183</v>
      </c>
      <c r="Z31" s="37" t="s">
        <v>183</v>
      </c>
      <c r="AA31" s="37" t="s">
        <v>184</v>
      </c>
      <c r="AB31" s="33" t="s">
        <v>97</v>
      </c>
      <c r="AC31" s="33" t="s">
        <v>184</v>
      </c>
      <c r="AD31" s="33" t="s">
        <v>184</v>
      </c>
      <c r="AE31" s="33" t="s">
        <v>184</v>
      </c>
      <c r="AF31" s="33" t="s">
        <v>184</v>
      </c>
      <c r="AG31" s="33" t="s">
        <v>184</v>
      </c>
      <c r="AH31" s="33" t="s">
        <v>184</v>
      </c>
      <c r="AI31" s="33" t="s">
        <v>303</v>
      </c>
      <c r="AJ31" s="31" t="s">
        <v>305</v>
      </c>
    </row>
    <row r="32" spans="1:36" ht="88">
      <c r="A32" s="33">
        <v>4</v>
      </c>
      <c r="B32" s="33">
        <v>38810738</v>
      </c>
      <c r="C32" s="40" t="s">
        <v>84</v>
      </c>
      <c r="D32" s="40" t="s">
        <v>56</v>
      </c>
      <c r="E32" s="33" t="s">
        <v>32</v>
      </c>
      <c r="F32" s="33" t="s">
        <v>180</v>
      </c>
      <c r="G32" s="33" t="s">
        <v>43</v>
      </c>
      <c r="H32" s="33" t="s">
        <v>21</v>
      </c>
      <c r="I32" s="33" t="s">
        <v>85</v>
      </c>
      <c r="J32" s="35" t="s">
        <v>24</v>
      </c>
      <c r="K32" s="35" t="s">
        <v>56</v>
      </c>
      <c r="L32" s="39">
        <v>5.3999999999999997E-23</v>
      </c>
      <c r="M32" s="35" t="s">
        <v>223</v>
      </c>
      <c r="N32" s="36" t="s">
        <v>97</v>
      </c>
      <c r="O32" s="36" t="s">
        <v>183</v>
      </c>
      <c r="P32" s="36" t="s">
        <v>183</v>
      </c>
      <c r="Q32" s="36" t="s">
        <v>183</v>
      </c>
      <c r="R32" s="37">
        <v>7</v>
      </c>
      <c r="S32" s="37">
        <v>0.18412000000000001</v>
      </c>
      <c r="T32" s="37">
        <v>0</v>
      </c>
      <c r="U32" s="37" t="s">
        <v>183</v>
      </c>
      <c r="V32" s="37" t="s">
        <v>183</v>
      </c>
      <c r="W32" s="37" t="s">
        <v>183</v>
      </c>
      <c r="X32" s="37" t="s">
        <v>183</v>
      </c>
      <c r="Y32" s="37" t="s">
        <v>183</v>
      </c>
      <c r="Z32" s="37" t="s">
        <v>183</v>
      </c>
      <c r="AA32" s="37" t="s">
        <v>184</v>
      </c>
      <c r="AB32" s="33" t="s">
        <v>97</v>
      </c>
      <c r="AC32" s="33" t="s">
        <v>184</v>
      </c>
      <c r="AD32" s="33" t="s">
        <v>184</v>
      </c>
      <c r="AE32" s="33" t="s">
        <v>184</v>
      </c>
      <c r="AF32" s="33" t="s">
        <v>184</v>
      </c>
      <c r="AG32" s="33" t="s">
        <v>184</v>
      </c>
      <c r="AH32" s="33" t="s">
        <v>184</v>
      </c>
      <c r="AI32" s="33" t="s">
        <v>302</v>
      </c>
      <c r="AJ32" s="31" t="s">
        <v>322</v>
      </c>
    </row>
    <row r="33" spans="1:39" ht="88">
      <c r="A33" s="33">
        <v>4</v>
      </c>
      <c r="B33" s="33">
        <v>38810769</v>
      </c>
      <c r="C33" s="40" t="s">
        <v>86</v>
      </c>
      <c r="D33" s="40" t="s">
        <v>56</v>
      </c>
      <c r="E33" s="33" t="s">
        <v>32</v>
      </c>
      <c r="F33" s="33" t="s">
        <v>180</v>
      </c>
      <c r="G33" s="33" t="s">
        <v>43</v>
      </c>
      <c r="H33" s="33" t="s">
        <v>23</v>
      </c>
      <c r="I33" s="33" t="s">
        <v>49</v>
      </c>
      <c r="J33" s="35" t="s">
        <v>24</v>
      </c>
      <c r="K33" s="35" t="s">
        <v>56</v>
      </c>
      <c r="L33" s="39">
        <v>5.3999999999999997E-23</v>
      </c>
      <c r="M33" s="35" t="s">
        <v>223</v>
      </c>
      <c r="N33" s="36" t="s">
        <v>24</v>
      </c>
      <c r="O33" s="36" t="s">
        <v>264</v>
      </c>
      <c r="P33" s="36" t="s">
        <v>265</v>
      </c>
      <c r="Q33" s="36" t="s">
        <v>212</v>
      </c>
      <c r="R33" s="37">
        <v>7</v>
      </c>
      <c r="S33" s="37">
        <v>0.18412000000000001</v>
      </c>
      <c r="T33" s="37">
        <v>0</v>
      </c>
      <c r="U33" s="37" t="s">
        <v>187</v>
      </c>
      <c r="V33" s="37" t="s">
        <v>183</v>
      </c>
      <c r="W33" s="37" t="s">
        <v>183</v>
      </c>
      <c r="X33" s="37" t="s">
        <v>188</v>
      </c>
      <c r="Y33" s="37" t="s">
        <v>266</v>
      </c>
      <c r="Z33" s="37" t="s">
        <v>97</v>
      </c>
      <c r="AA33" s="37" t="s">
        <v>184</v>
      </c>
      <c r="AB33" s="33" t="s">
        <v>97</v>
      </c>
      <c r="AC33" s="33" t="s">
        <v>184</v>
      </c>
      <c r="AD33" s="33" t="s">
        <v>184</v>
      </c>
      <c r="AE33" s="33" t="s">
        <v>184</v>
      </c>
      <c r="AF33" s="33" t="s">
        <v>184</v>
      </c>
      <c r="AG33" s="33" t="s">
        <v>184</v>
      </c>
      <c r="AH33" s="33" t="s">
        <v>184</v>
      </c>
      <c r="AI33" s="33" t="s">
        <v>299</v>
      </c>
      <c r="AJ33" s="31" t="s">
        <v>323</v>
      </c>
    </row>
    <row r="34" spans="1:39" ht="88">
      <c r="A34" s="33">
        <v>4</v>
      </c>
      <c r="B34" s="33">
        <v>38810975</v>
      </c>
      <c r="C34" s="40" t="s">
        <v>87</v>
      </c>
      <c r="D34" s="40" t="s">
        <v>56</v>
      </c>
      <c r="E34" s="33" t="s">
        <v>32</v>
      </c>
      <c r="F34" s="33" t="s">
        <v>180</v>
      </c>
      <c r="G34" s="33" t="s">
        <v>43</v>
      </c>
      <c r="H34" s="33" t="s">
        <v>23</v>
      </c>
      <c r="I34" s="33" t="s">
        <v>49</v>
      </c>
      <c r="J34" s="35" t="s">
        <v>24</v>
      </c>
      <c r="K34" s="35" t="s">
        <v>222</v>
      </c>
      <c r="L34" s="39">
        <v>5.3999999999999997E-23</v>
      </c>
      <c r="M34" s="35" t="s">
        <v>223</v>
      </c>
      <c r="N34" s="36" t="s">
        <v>97</v>
      </c>
      <c r="O34" s="36" t="s">
        <v>183</v>
      </c>
      <c r="P34" s="36" t="s">
        <v>183</v>
      </c>
      <c r="Q34" s="36" t="s">
        <v>183</v>
      </c>
      <c r="R34" s="37">
        <v>5</v>
      </c>
      <c r="S34" s="37">
        <v>0.91017000000000003</v>
      </c>
      <c r="T34" s="37">
        <v>5</v>
      </c>
      <c r="U34" s="37" t="s">
        <v>183</v>
      </c>
      <c r="V34" s="37" t="s">
        <v>183</v>
      </c>
      <c r="W34" s="37" t="s">
        <v>183</v>
      </c>
      <c r="X34" s="37" t="s">
        <v>183</v>
      </c>
      <c r="Y34" s="37" t="s">
        <v>183</v>
      </c>
      <c r="Z34" s="37" t="s">
        <v>183</v>
      </c>
      <c r="AA34" s="37" t="s">
        <v>184</v>
      </c>
      <c r="AB34" s="33" t="s">
        <v>97</v>
      </c>
      <c r="AC34" s="33" t="s">
        <v>184</v>
      </c>
      <c r="AD34" s="33" t="s">
        <v>184</v>
      </c>
      <c r="AE34" s="33" t="s">
        <v>184</v>
      </c>
      <c r="AF34" s="33" t="s">
        <v>184</v>
      </c>
      <c r="AG34" s="33" t="s">
        <v>184</v>
      </c>
      <c r="AH34" s="33" t="s">
        <v>184</v>
      </c>
      <c r="AI34" s="33" t="s">
        <v>302</v>
      </c>
      <c r="AJ34" s="31" t="s">
        <v>324</v>
      </c>
    </row>
    <row r="35" spans="1:39" ht="88">
      <c r="A35" s="33">
        <v>4</v>
      </c>
      <c r="B35" s="33">
        <v>38811529</v>
      </c>
      <c r="C35" s="40" t="s">
        <v>88</v>
      </c>
      <c r="D35" s="40" t="s">
        <v>56</v>
      </c>
      <c r="E35" s="33" t="s">
        <v>47</v>
      </c>
      <c r="F35" s="33" t="s">
        <v>200</v>
      </c>
      <c r="G35" s="33" t="s">
        <v>23</v>
      </c>
      <c r="H35" s="33" t="s">
        <v>30</v>
      </c>
      <c r="I35" s="33" t="s">
        <v>93</v>
      </c>
      <c r="J35" s="35" t="s">
        <v>24</v>
      </c>
      <c r="K35" s="35" t="s">
        <v>56</v>
      </c>
      <c r="L35" s="39">
        <v>5.3999999999999997E-23</v>
      </c>
      <c r="M35" s="35" t="s">
        <v>223</v>
      </c>
      <c r="N35" s="36" t="s">
        <v>97</v>
      </c>
      <c r="O35" s="36" t="s">
        <v>183</v>
      </c>
      <c r="P35" s="36" t="s">
        <v>183</v>
      </c>
      <c r="Q35" s="36" t="s">
        <v>183</v>
      </c>
      <c r="R35" s="37">
        <v>5</v>
      </c>
      <c r="S35" s="37">
        <v>0.58955000000000002</v>
      </c>
      <c r="T35" s="37">
        <v>1</v>
      </c>
      <c r="U35" s="37" t="s">
        <v>183</v>
      </c>
      <c r="V35" s="37" t="s">
        <v>183</v>
      </c>
      <c r="W35" s="37" t="s">
        <v>183</v>
      </c>
      <c r="X35" s="37" t="s">
        <v>183</v>
      </c>
      <c r="Y35" s="37" t="s">
        <v>183</v>
      </c>
      <c r="Z35" s="37" t="s">
        <v>183</v>
      </c>
      <c r="AA35" s="37" t="s">
        <v>184</v>
      </c>
      <c r="AB35" s="33" t="s">
        <v>97</v>
      </c>
      <c r="AC35" s="33" t="s">
        <v>184</v>
      </c>
      <c r="AD35" s="33" t="s">
        <v>184</v>
      </c>
      <c r="AE35" s="33" t="s">
        <v>184</v>
      </c>
      <c r="AF35" s="33" t="s">
        <v>184</v>
      </c>
      <c r="AG35" s="33" t="s">
        <v>184</v>
      </c>
      <c r="AH35" s="33" t="s">
        <v>184</v>
      </c>
      <c r="AI35" s="33" t="s">
        <v>302</v>
      </c>
      <c r="AJ35" s="31" t="s">
        <v>324</v>
      </c>
    </row>
    <row r="36" spans="1:39" ht="88">
      <c r="A36" s="33">
        <v>4</v>
      </c>
      <c r="B36" s="33">
        <v>38811668</v>
      </c>
      <c r="C36" s="40" t="s">
        <v>89</v>
      </c>
      <c r="D36" s="40" t="s">
        <v>56</v>
      </c>
      <c r="E36" s="33" t="s">
        <v>47</v>
      </c>
      <c r="F36" s="33" t="s">
        <v>200</v>
      </c>
      <c r="G36" s="33" t="s">
        <v>21</v>
      </c>
      <c r="H36" s="33" t="s">
        <v>30</v>
      </c>
      <c r="I36" s="33" t="s">
        <v>39</v>
      </c>
      <c r="J36" s="35" t="s">
        <v>24</v>
      </c>
      <c r="K36" s="35" t="s">
        <v>56</v>
      </c>
      <c r="L36" s="39">
        <v>5.3999999999999997E-23</v>
      </c>
      <c r="M36" s="35" t="s">
        <v>223</v>
      </c>
      <c r="N36" s="36" t="s">
        <v>97</v>
      </c>
      <c r="O36" s="36" t="s">
        <v>183</v>
      </c>
      <c r="P36" s="36" t="s">
        <v>183</v>
      </c>
      <c r="Q36" s="36" t="s">
        <v>183</v>
      </c>
      <c r="R36" s="37" t="s">
        <v>186</v>
      </c>
      <c r="S36" s="37">
        <v>0.84691000000000005</v>
      </c>
      <c r="T36" s="37">
        <v>4</v>
      </c>
      <c r="U36" s="37" t="s">
        <v>187</v>
      </c>
      <c r="V36" s="37" t="s">
        <v>183</v>
      </c>
      <c r="W36" s="37" t="s">
        <v>183</v>
      </c>
      <c r="X36" s="37" t="s">
        <v>188</v>
      </c>
      <c r="Y36" s="37" t="s">
        <v>262</v>
      </c>
      <c r="Z36" s="37" t="s">
        <v>24</v>
      </c>
      <c r="AA36" s="37" t="s">
        <v>267</v>
      </c>
      <c r="AB36" s="33" t="s">
        <v>97</v>
      </c>
      <c r="AC36" s="33" t="s">
        <v>184</v>
      </c>
      <c r="AD36" s="33" t="s">
        <v>184</v>
      </c>
      <c r="AE36" s="33" t="s">
        <v>184</v>
      </c>
      <c r="AF36" s="33" t="s">
        <v>184</v>
      </c>
      <c r="AG36" s="33" t="s">
        <v>184</v>
      </c>
      <c r="AH36" s="33" t="s">
        <v>184</v>
      </c>
      <c r="AI36" s="33" t="s">
        <v>302</v>
      </c>
      <c r="AJ36" s="31" t="s">
        <v>312</v>
      </c>
    </row>
    <row r="37" spans="1:39" ht="32">
      <c r="A37" s="33">
        <v>4</v>
      </c>
      <c r="B37" s="33">
        <v>38811845</v>
      </c>
      <c r="C37" s="40" t="s">
        <v>90</v>
      </c>
      <c r="D37" s="40" t="s">
        <v>56</v>
      </c>
      <c r="E37" s="33" t="s">
        <v>47</v>
      </c>
      <c r="F37" s="33" t="s">
        <v>200</v>
      </c>
      <c r="G37" s="33" t="s">
        <v>21</v>
      </c>
      <c r="H37" s="33" t="s">
        <v>43</v>
      </c>
      <c r="I37" s="33" t="s">
        <v>91</v>
      </c>
      <c r="J37" s="35" t="s">
        <v>97</v>
      </c>
      <c r="K37" s="35" t="s">
        <v>181</v>
      </c>
      <c r="L37" s="35" t="s">
        <v>182</v>
      </c>
      <c r="M37" s="35" t="s">
        <v>182</v>
      </c>
      <c r="N37" s="36" t="s">
        <v>97</v>
      </c>
      <c r="O37" s="36" t="s">
        <v>183</v>
      </c>
      <c r="P37" s="36" t="s">
        <v>183</v>
      </c>
      <c r="Q37" s="36" t="s">
        <v>183</v>
      </c>
      <c r="R37" s="37">
        <v>7</v>
      </c>
      <c r="S37" s="37">
        <v>0.18412000000000001</v>
      </c>
      <c r="T37" s="37">
        <v>0</v>
      </c>
      <c r="U37" s="37" t="s">
        <v>183</v>
      </c>
      <c r="V37" s="37" t="s">
        <v>183</v>
      </c>
      <c r="W37" s="37" t="s">
        <v>183</v>
      </c>
      <c r="X37" s="37" t="s">
        <v>183</v>
      </c>
      <c r="Y37" s="37" t="s">
        <v>183</v>
      </c>
      <c r="Z37" s="37" t="s">
        <v>183</v>
      </c>
      <c r="AA37" s="37" t="s">
        <v>184</v>
      </c>
      <c r="AB37" s="33" t="s">
        <v>97</v>
      </c>
      <c r="AC37" s="33" t="s">
        <v>184</v>
      </c>
      <c r="AD37" s="33" t="s">
        <v>184</v>
      </c>
      <c r="AE37" s="33" t="s">
        <v>184</v>
      </c>
      <c r="AF37" s="33" t="s">
        <v>184</v>
      </c>
      <c r="AG37" s="33" t="s">
        <v>184</v>
      </c>
      <c r="AH37" s="33" t="s">
        <v>184</v>
      </c>
      <c r="AI37" s="33" t="s">
        <v>303</v>
      </c>
      <c r="AJ37" s="31" t="s">
        <v>305</v>
      </c>
    </row>
    <row r="38" spans="1:39" ht="88">
      <c r="A38" s="33">
        <v>4</v>
      </c>
      <c r="B38" s="33">
        <v>38812116</v>
      </c>
      <c r="C38" s="40" t="s">
        <v>92</v>
      </c>
      <c r="D38" s="40" t="s">
        <v>56</v>
      </c>
      <c r="E38" s="33" t="s">
        <v>47</v>
      </c>
      <c r="F38" s="33" t="s">
        <v>200</v>
      </c>
      <c r="G38" s="33" t="s">
        <v>23</v>
      </c>
      <c r="H38" s="33" t="s">
        <v>30</v>
      </c>
      <c r="I38" s="33" t="s">
        <v>93</v>
      </c>
      <c r="J38" s="35" t="s">
        <v>24</v>
      </c>
      <c r="K38" s="35" t="s">
        <v>56</v>
      </c>
      <c r="L38" s="39">
        <v>5.3999999999999997E-23</v>
      </c>
      <c r="M38" s="35" t="s">
        <v>223</v>
      </c>
      <c r="N38" s="36" t="s">
        <v>97</v>
      </c>
      <c r="O38" s="36" t="s">
        <v>183</v>
      </c>
      <c r="P38" s="36" t="s">
        <v>183</v>
      </c>
      <c r="Q38" s="36"/>
      <c r="R38" s="37">
        <v>5</v>
      </c>
      <c r="S38" s="37">
        <v>0.69</v>
      </c>
      <c r="T38" s="37">
        <v>6</v>
      </c>
      <c r="U38" s="37" t="s">
        <v>183</v>
      </c>
      <c r="V38" s="37" t="s">
        <v>183</v>
      </c>
      <c r="W38" s="37" t="s">
        <v>183</v>
      </c>
      <c r="X38" s="37" t="s">
        <v>183</v>
      </c>
      <c r="Y38" s="37" t="s">
        <v>183</v>
      </c>
      <c r="Z38" s="37" t="s">
        <v>183</v>
      </c>
      <c r="AA38" s="37" t="s">
        <v>184</v>
      </c>
      <c r="AB38" s="33" t="s">
        <v>97</v>
      </c>
      <c r="AC38" s="33" t="s">
        <v>184</v>
      </c>
      <c r="AD38" s="33" t="s">
        <v>184</v>
      </c>
      <c r="AE38" s="33" t="s">
        <v>184</v>
      </c>
      <c r="AF38" s="33" t="s">
        <v>184</v>
      </c>
      <c r="AG38" s="33" t="s">
        <v>184</v>
      </c>
      <c r="AH38" s="33" t="s">
        <v>184</v>
      </c>
      <c r="AI38" s="33" t="s">
        <v>302</v>
      </c>
      <c r="AJ38" s="31" t="s">
        <v>324</v>
      </c>
    </row>
    <row r="39" spans="1:39" ht="88">
      <c r="A39" s="33">
        <v>4</v>
      </c>
      <c r="B39" s="33">
        <v>38812537</v>
      </c>
      <c r="C39" s="40" t="s">
        <v>94</v>
      </c>
      <c r="D39" s="40" t="s">
        <v>56</v>
      </c>
      <c r="E39" s="33" t="s">
        <v>47</v>
      </c>
      <c r="F39" s="33" t="s">
        <v>200</v>
      </c>
      <c r="G39" s="33" t="s">
        <v>30</v>
      </c>
      <c r="H39" s="33" t="s">
        <v>21</v>
      </c>
      <c r="I39" s="33" t="s">
        <v>60</v>
      </c>
      <c r="J39" s="35" t="s">
        <v>24</v>
      </c>
      <c r="K39" s="35" t="s">
        <v>56</v>
      </c>
      <c r="L39" s="39">
        <v>5.3999999999999997E-23</v>
      </c>
      <c r="M39" s="35" t="s">
        <v>223</v>
      </c>
      <c r="N39" s="36" t="s">
        <v>97</v>
      </c>
      <c r="O39" s="36" t="s">
        <v>183</v>
      </c>
      <c r="P39" s="36" t="s">
        <v>183</v>
      </c>
      <c r="Q39" s="36" t="s">
        <v>183</v>
      </c>
      <c r="R39" s="37">
        <v>5</v>
      </c>
      <c r="S39" s="37">
        <v>0.13453999999999999</v>
      </c>
      <c r="T39" s="37">
        <v>4</v>
      </c>
      <c r="U39" s="37" t="s">
        <v>183</v>
      </c>
      <c r="V39" s="37" t="s">
        <v>183</v>
      </c>
      <c r="W39" s="37" t="s">
        <v>183</v>
      </c>
      <c r="X39" s="37" t="s">
        <v>183</v>
      </c>
      <c r="Y39" s="37" t="s">
        <v>183</v>
      </c>
      <c r="Z39" s="37" t="s">
        <v>183</v>
      </c>
      <c r="AA39" s="37" t="s">
        <v>184</v>
      </c>
      <c r="AB39" s="33" t="s">
        <v>97</v>
      </c>
      <c r="AC39" s="33" t="s">
        <v>184</v>
      </c>
      <c r="AD39" s="33" t="s">
        <v>184</v>
      </c>
      <c r="AE39" s="33" t="s">
        <v>184</v>
      </c>
      <c r="AF39" s="33" t="s">
        <v>184</v>
      </c>
      <c r="AG39" s="33" t="s">
        <v>184</v>
      </c>
      <c r="AH39" s="33" t="s">
        <v>184</v>
      </c>
      <c r="AI39" s="33" t="s">
        <v>302</v>
      </c>
      <c r="AJ39" s="31" t="s">
        <v>324</v>
      </c>
    </row>
    <row r="40" spans="1:39" ht="88">
      <c r="A40" s="33">
        <v>4</v>
      </c>
      <c r="B40" s="33">
        <v>38814700</v>
      </c>
      <c r="C40" s="40" t="s">
        <v>95</v>
      </c>
      <c r="D40" s="40" t="s">
        <v>56</v>
      </c>
      <c r="E40" s="33" t="s">
        <v>47</v>
      </c>
      <c r="F40" s="33" t="s">
        <v>200</v>
      </c>
      <c r="G40" s="33" t="s">
        <v>30</v>
      </c>
      <c r="H40" s="33" t="s">
        <v>21</v>
      </c>
      <c r="I40" s="33" t="s">
        <v>60</v>
      </c>
      <c r="J40" s="35" t="s">
        <v>24</v>
      </c>
      <c r="K40" s="35" t="s">
        <v>56</v>
      </c>
      <c r="L40" s="39">
        <v>2.0000000000000001E-22</v>
      </c>
      <c r="M40" s="35" t="s">
        <v>223</v>
      </c>
      <c r="N40" s="36" t="s">
        <v>97</v>
      </c>
      <c r="O40" s="36" t="s">
        <v>183</v>
      </c>
      <c r="P40" s="36" t="s">
        <v>183</v>
      </c>
      <c r="Q40" s="36" t="s">
        <v>183</v>
      </c>
      <c r="R40" s="37">
        <v>5</v>
      </c>
      <c r="S40" s="37">
        <v>0.13453999999999999</v>
      </c>
      <c r="T40" s="37">
        <v>1</v>
      </c>
      <c r="U40" s="37" t="s">
        <v>183</v>
      </c>
      <c r="V40" s="37" t="s">
        <v>183</v>
      </c>
      <c r="W40" s="37" t="s">
        <v>183</v>
      </c>
      <c r="X40" s="37" t="s">
        <v>183</v>
      </c>
      <c r="Y40" s="37" t="s">
        <v>183</v>
      </c>
      <c r="Z40" s="37" t="s">
        <v>183</v>
      </c>
      <c r="AA40" s="37" t="s">
        <v>184</v>
      </c>
      <c r="AB40" s="33" t="s">
        <v>97</v>
      </c>
      <c r="AC40" s="33" t="s">
        <v>184</v>
      </c>
      <c r="AD40" s="33" t="s">
        <v>184</v>
      </c>
      <c r="AE40" s="33" t="s">
        <v>184</v>
      </c>
      <c r="AF40" s="33" t="s">
        <v>184</v>
      </c>
      <c r="AG40" s="33" t="s">
        <v>184</v>
      </c>
      <c r="AH40" s="33" t="s">
        <v>184</v>
      </c>
      <c r="AI40" s="33" t="s">
        <v>302</v>
      </c>
      <c r="AJ40" s="31" t="s">
        <v>324</v>
      </c>
    </row>
    <row r="41" spans="1:39" ht="64">
      <c r="A41" s="33">
        <v>4</v>
      </c>
      <c r="B41" s="33">
        <v>38833173</v>
      </c>
      <c r="C41" s="42" t="s">
        <v>100</v>
      </c>
      <c r="D41" s="42" t="s">
        <v>98</v>
      </c>
      <c r="E41" s="33" t="s">
        <v>47</v>
      </c>
      <c r="F41" s="33" t="s">
        <v>200</v>
      </c>
      <c r="G41" s="33" t="s">
        <v>30</v>
      </c>
      <c r="H41" s="33" t="s">
        <v>23</v>
      </c>
      <c r="I41" s="33" t="s">
        <v>101</v>
      </c>
      <c r="J41" s="35" t="s">
        <v>97</v>
      </c>
      <c r="K41" s="35" t="s">
        <v>181</v>
      </c>
      <c r="L41" s="35" t="s">
        <v>182</v>
      </c>
      <c r="M41" s="35" t="s">
        <v>182</v>
      </c>
      <c r="N41" s="36" t="s">
        <v>97</v>
      </c>
      <c r="O41" s="36" t="s">
        <v>183</v>
      </c>
      <c r="P41" s="36" t="s">
        <v>183</v>
      </c>
      <c r="Q41" s="36" t="s">
        <v>183</v>
      </c>
      <c r="R41" s="37">
        <v>7</v>
      </c>
      <c r="S41" s="37">
        <v>0.18412000000000001</v>
      </c>
      <c r="T41" s="37">
        <v>0</v>
      </c>
      <c r="U41" s="37" t="s">
        <v>183</v>
      </c>
      <c r="V41" s="37" t="s">
        <v>183</v>
      </c>
      <c r="W41" s="37" t="s">
        <v>183</v>
      </c>
      <c r="X41" s="37" t="s">
        <v>183</v>
      </c>
      <c r="Y41" s="37" t="s">
        <v>183</v>
      </c>
      <c r="Z41" s="37" t="s">
        <v>183</v>
      </c>
      <c r="AA41" s="37" t="s">
        <v>184</v>
      </c>
      <c r="AB41" s="33" t="s">
        <v>24</v>
      </c>
      <c r="AC41" s="31" t="s">
        <v>268</v>
      </c>
      <c r="AD41" s="31" t="s">
        <v>269</v>
      </c>
      <c r="AE41" s="31" t="s">
        <v>270</v>
      </c>
      <c r="AF41" s="31" t="s">
        <v>271</v>
      </c>
      <c r="AG41" s="31" t="s">
        <v>272</v>
      </c>
      <c r="AH41" s="31" t="s">
        <v>273</v>
      </c>
      <c r="AI41" s="33" t="s">
        <v>302</v>
      </c>
      <c r="AJ41" s="31" t="s">
        <v>325</v>
      </c>
    </row>
    <row r="42" spans="1:39" ht="32">
      <c r="A42" s="33">
        <v>4</v>
      </c>
      <c r="B42" s="33">
        <v>38835702</v>
      </c>
      <c r="C42" s="42" t="s">
        <v>102</v>
      </c>
      <c r="D42" s="42" t="s">
        <v>98</v>
      </c>
      <c r="E42" s="33" t="s">
        <v>47</v>
      </c>
      <c r="F42" s="33" t="s">
        <v>200</v>
      </c>
      <c r="G42" s="33" t="s">
        <v>23</v>
      </c>
      <c r="H42" s="33" t="s">
        <v>43</v>
      </c>
      <c r="I42" s="33" t="s">
        <v>53</v>
      </c>
      <c r="J42" s="35" t="s">
        <v>97</v>
      </c>
      <c r="K42" s="35" t="s">
        <v>181</v>
      </c>
      <c r="L42" s="35" t="s">
        <v>182</v>
      </c>
      <c r="M42" s="35" t="s">
        <v>182</v>
      </c>
      <c r="N42" s="36" t="s">
        <v>97</v>
      </c>
      <c r="O42" s="36" t="s">
        <v>183</v>
      </c>
      <c r="P42" s="36" t="s">
        <v>183</v>
      </c>
      <c r="Q42" s="36" t="s">
        <v>183</v>
      </c>
      <c r="R42" s="37">
        <v>6</v>
      </c>
      <c r="S42" s="37">
        <v>0.16345999999999999</v>
      </c>
      <c r="T42" s="37">
        <v>9</v>
      </c>
      <c r="U42" s="37" t="s">
        <v>183</v>
      </c>
      <c r="V42" s="37" t="s">
        <v>183</v>
      </c>
      <c r="W42" s="37" t="s">
        <v>183</v>
      </c>
      <c r="X42" s="37" t="s">
        <v>183</v>
      </c>
      <c r="Y42" s="37" t="s">
        <v>183</v>
      </c>
      <c r="Z42" s="37" t="s">
        <v>183</v>
      </c>
      <c r="AA42" s="37" t="s">
        <v>184</v>
      </c>
      <c r="AB42" s="33" t="s">
        <v>97</v>
      </c>
      <c r="AC42" s="33" t="s">
        <v>184</v>
      </c>
      <c r="AD42" s="33" t="s">
        <v>184</v>
      </c>
      <c r="AE42" s="33" t="s">
        <v>184</v>
      </c>
      <c r="AF42" s="33" t="s">
        <v>184</v>
      </c>
      <c r="AG42" s="33" t="s">
        <v>184</v>
      </c>
      <c r="AH42" s="33" t="s">
        <v>184</v>
      </c>
      <c r="AI42" s="33" t="s">
        <v>303</v>
      </c>
      <c r="AJ42" s="31" t="s">
        <v>305</v>
      </c>
    </row>
    <row r="43" spans="1:39" ht="32">
      <c r="A43" s="33">
        <v>4</v>
      </c>
      <c r="B43" s="33">
        <v>38836071</v>
      </c>
      <c r="C43" s="42" t="s">
        <v>103</v>
      </c>
      <c r="D43" s="42" t="s">
        <v>98</v>
      </c>
      <c r="E43" s="33" t="s">
        <v>47</v>
      </c>
      <c r="F43" s="33" t="s">
        <v>200</v>
      </c>
      <c r="G43" s="33" t="s">
        <v>21</v>
      </c>
      <c r="H43" s="33" t="s">
        <v>30</v>
      </c>
      <c r="I43" s="33" t="s">
        <v>39</v>
      </c>
      <c r="J43" s="35" t="s">
        <v>97</v>
      </c>
      <c r="K43" s="35" t="s">
        <v>181</v>
      </c>
      <c r="L43" s="35" t="s">
        <v>182</v>
      </c>
      <c r="M43" s="35" t="s">
        <v>182</v>
      </c>
      <c r="N43" s="36" t="s">
        <v>97</v>
      </c>
      <c r="O43" s="36" t="s">
        <v>183</v>
      </c>
      <c r="P43" s="36" t="s">
        <v>183</v>
      </c>
      <c r="Q43" s="36" t="s">
        <v>183</v>
      </c>
      <c r="R43" s="37">
        <v>5</v>
      </c>
      <c r="S43" s="37">
        <v>0.58955000000000002</v>
      </c>
      <c r="T43" s="37">
        <v>1</v>
      </c>
      <c r="U43" s="37" t="s">
        <v>183</v>
      </c>
      <c r="V43" s="37" t="s">
        <v>183</v>
      </c>
      <c r="W43" s="37" t="s">
        <v>183</v>
      </c>
      <c r="X43" s="37" t="s">
        <v>183</v>
      </c>
      <c r="Y43" s="37" t="s">
        <v>183</v>
      </c>
      <c r="Z43" s="37" t="s">
        <v>183</v>
      </c>
      <c r="AA43" s="37" t="s">
        <v>184</v>
      </c>
      <c r="AB43" s="33" t="s">
        <v>97</v>
      </c>
      <c r="AC43" s="33" t="s">
        <v>184</v>
      </c>
      <c r="AD43" s="33" t="s">
        <v>184</v>
      </c>
      <c r="AE43" s="33" t="s">
        <v>184</v>
      </c>
      <c r="AF43" s="33" t="s">
        <v>184</v>
      </c>
      <c r="AG43" s="33" t="s">
        <v>184</v>
      </c>
      <c r="AH43" s="33" t="s">
        <v>184</v>
      </c>
      <c r="AI43" s="33" t="s">
        <v>303</v>
      </c>
      <c r="AJ43" s="31" t="s">
        <v>305</v>
      </c>
    </row>
    <row r="44" spans="1:39" ht="48">
      <c r="A44" s="33">
        <v>4</v>
      </c>
      <c r="B44" s="33">
        <v>38871385</v>
      </c>
      <c r="C44" s="43" t="s">
        <v>114</v>
      </c>
      <c r="D44" s="43" t="s">
        <v>115</v>
      </c>
      <c r="E44" s="33" t="s">
        <v>47</v>
      </c>
      <c r="F44" s="33" t="s">
        <v>200</v>
      </c>
      <c r="G44" s="33" t="s">
        <v>23</v>
      </c>
      <c r="H44" s="33" t="s">
        <v>43</v>
      </c>
      <c r="I44" s="33" t="s">
        <v>53</v>
      </c>
      <c r="J44" s="35" t="s">
        <v>97</v>
      </c>
      <c r="K44" s="35" t="s">
        <v>181</v>
      </c>
      <c r="L44" s="35" t="s">
        <v>182</v>
      </c>
      <c r="M44" s="35" t="s">
        <v>182</v>
      </c>
      <c r="N44" s="36" t="s">
        <v>97</v>
      </c>
      <c r="O44" s="36" t="s">
        <v>183</v>
      </c>
      <c r="P44" s="36" t="s">
        <v>183</v>
      </c>
      <c r="Q44" s="36" t="s">
        <v>183</v>
      </c>
      <c r="R44" s="37">
        <v>4</v>
      </c>
      <c r="S44" s="37">
        <v>0.60906000000000005</v>
      </c>
      <c r="T44" s="37">
        <v>49</v>
      </c>
      <c r="U44" s="37" t="s">
        <v>187</v>
      </c>
      <c r="V44" s="37" t="s">
        <v>183</v>
      </c>
      <c r="W44" s="37" t="s">
        <v>183</v>
      </c>
      <c r="X44" s="37" t="s">
        <v>274</v>
      </c>
      <c r="Y44" s="37" t="s">
        <v>275</v>
      </c>
      <c r="Z44" s="37" t="s">
        <v>24</v>
      </c>
      <c r="AA44" s="37" t="s">
        <v>276</v>
      </c>
      <c r="AB44" s="33" t="s">
        <v>97</v>
      </c>
      <c r="AC44" s="33" t="s">
        <v>184</v>
      </c>
      <c r="AD44" s="33" t="s">
        <v>184</v>
      </c>
      <c r="AE44" s="33" t="s">
        <v>184</v>
      </c>
      <c r="AF44" s="33" t="s">
        <v>184</v>
      </c>
      <c r="AG44" s="33" t="s">
        <v>184</v>
      </c>
      <c r="AH44" s="33" t="s">
        <v>184</v>
      </c>
      <c r="AI44" s="33" t="s">
        <v>302</v>
      </c>
      <c r="AJ44" s="31" t="s">
        <v>326</v>
      </c>
    </row>
    <row r="45" spans="1:39" ht="32">
      <c r="A45" s="33">
        <v>4</v>
      </c>
      <c r="B45" s="33">
        <v>38881761</v>
      </c>
      <c r="C45" s="43" t="s">
        <v>119</v>
      </c>
      <c r="D45" s="43" t="s">
        <v>115</v>
      </c>
      <c r="E45" s="33" t="s">
        <v>47</v>
      </c>
      <c r="F45" s="33" t="s">
        <v>200</v>
      </c>
      <c r="G45" s="33" t="s">
        <v>21</v>
      </c>
      <c r="H45" s="33" t="s">
        <v>30</v>
      </c>
      <c r="I45" s="33" t="s">
        <v>39</v>
      </c>
      <c r="J45" s="35" t="s">
        <v>97</v>
      </c>
      <c r="K45" s="35" t="s">
        <v>181</v>
      </c>
      <c r="L45" s="35" t="s">
        <v>182</v>
      </c>
      <c r="M45" s="35" t="s">
        <v>182</v>
      </c>
      <c r="N45" s="36" t="s">
        <v>97</v>
      </c>
      <c r="O45" s="36" t="s">
        <v>183</v>
      </c>
      <c r="P45" s="36" t="s">
        <v>183</v>
      </c>
      <c r="Q45" s="36" t="s">
        <v>183</v>
      </c>
      <c r="R45" s="37">
        <v>6</v>
      </c>
      <c r="S45" s="37">
        <v>0.34711999999999998</v>
      </c>
      <c r="T45" s="37">
        <v>3</v>
      </c>
      <c r="U45" s="37" t="s">
        <v>183</v>
      </c>
      <c r="V45" s="37" t="s">
        <v>183</v>
      </c>
      <c r="W45" s="37" t="s">
        <v>183</v>
      </c>
      <c r="X45" s="37" t="s">
        <v>183</v>
      </c>
      <c r="Y45" s="37" t="s">
        <v>183</v>
      </c>
      <c r="Z45" s="37" t="s">
        <v>183</v>
      </c>
      <c r="AA45" s="37" t="s">
        <v>184</v>
      </c>
      <c r="AB45" s="33" t="s">
        <v>97</v>
      </c>
      <c r="AC45" s="33" t="s">
        <v>184</v>
      </c>
      <c r="AD45" s="33" t="s">
        <v>184</v>
      </c>
      <c r="AE45" s="33" t="s">
        <v>184</v>
      </c>
      <c r="AF45" s="33" t="s">
        <v>184</v>
      </c>
      <c r="AG45" s="33" t="s">
        <v>184</v>
      </c>
      <c r="AH45" s="33" t="s">
        <v>184</v>
      </c>
      <c r="AI45" s="33" t="s">
        <v>303</v>
      </c>
      <c r="AJ45" s="31" t="s">
        <v>305</v>
      </c>
    </row>
    <row r="46" spans="1:39" ht="32">
      <c r="A46" s="33">
        <v>4</v>
      </c>
      <c r="B46" s="33">
        <v>38881766</v>
      </c>
      <c r="C46" s="43" t="s">
        <v>120</v>
      </c>
      <c r="D46" s="43" t="s">
        <v>115</v>
      </c>
      <c r="E46" s="33" t="s">
        <v>47</v>
      </c>
      <c r="F46" s="33" t="s">
        <v>200</v>
      </c>
      <c r="G46" s="33" t="s">
        <v>21</v>
      </c>
      <c r="H46" s="33" t="s">
        <v>30</v>
      </c>
      <c r="I46" s="33" t="s">
        <v>39</v>
      </c>
      <c r="J46" s="35" t="s">
        <v>97</v>
      </c>
      <c r="K46" s="35" t="s">
        <v>181</v>
      </c>
      <c r="L46" s="35" t="s">
        <v>182</v>
      </c>
      <c r="M46" s="35" t="s">
        <v>182</v>
      </c>
      <c r="N46" s="36" t="s">
        <v>97</v>
      </c>
      <c r="O46" s="36" t="s">
        <v>183</v>
      </c>
      <c r="P46" s="36" t="s">
        <v>183</v>
      </c>
      <c r="Q46" s="36" t="s">
        <v>183</v>
      </c>
      <c r="R46" s="37">
        <v>6</v>
      </c>
      <c r="S46" s="37">
        <v>0.34711999999999998</v>
      </c>
      <c r="T46" s="37">
        <v>3</v>
      </c>
      <c r="U46" s="37" t="s">
        <v>183</v>
      </c>
      <c r="V46" s="37" t="s">
        <v>183</v>
      </c>
      <c r="W46" s="37" t="s">
        <v>183</v>
      </c>
      <c r="X46" s="37" t="s">
        <v>183</v>
      </c>
      <c r="Y46" s="37" t="s">
        <v>183</v>
      </c>
      <c r="Z46" s="37" t="s">
        <v>183</v>
      </c>
      <c r="AA46" s="37" t="s">
        <v>184</v>
      </c>
      <c r="AB46" s="33" t="s">
        <v>97</v>
      </c>
      <c r="AC46" s="33" t="s">
        <v>184</v>
      </c>
      <c r="AD46" s="33" t="s">
        <v>184</v>
      </c>
      <c r="AE46" s="33" t="s">
        <v>184</v>
      </c>
      <c r="AF46" s="33" t="s">
        <v>184</v>
      </c>
      <c r="AG46" s="33" t="s">
        <v>184</v>
      </c>
      <c r="AH46" s="33" t="s">
        <v>184</v>
      </c>
      <c r="AI46" s="33" t="s">
        <v>303</v>
      </c>
      <c r="AJ46" s="31" t="s">
        <v>305</v>
      </c>
    </row>
    <row r="47" spans="1:39" ht="32">
      <c r="A47" s="33">
        <v>4</v>
      </c>
      <c r="B47" s="33">
        <v>38881773</v>
      </c>
      <c r="C47" s="43" t="s">
        <v>121</v>
      </c>
      <c r="D47" s="43" t="s">
        <v>115</v>
      </c>
      <c r="E47" s="33" t="s">
        <v>47</v>
      </c>
      <c r="F47" s="33" t="s">
        <v>200</v>
      </c>
      <c r="G47" s="33" t="s">
        <v>30</v>
      </c>
      <c r="H47" s="33" t="s">
        <v>21</v>
      </c>
      <c r="I47" s="33" t="s">
        <v>60</v>
      </c>
      <c r="J47" s="35" t="s">
        <v>97</v>
      </c>
      <c r="K47" s="35" t="s">
        <v>181</v>
      </c>
      <c r="L47" s="35" t="s">
        <v>182</v>
      </c>
      <c r="M47" s="35" t="s">
        <v>182</v>
      </c>
      <c r="N47" s="36" t="s">
        <v>97</v>
      </c>
      <c r="O47" s="36" t="s">
        <v>183</v>
      </c>
      <c r="P47" s="36" t="s">
        <v>183</v>
      </c>
      <c r="Q47" s="36" t="s">
        <v>183</v>
      </c>
      <c r="R47" s="37">
        <v>6</v>
      </c>
      <c r="S47" s="37">
        <v>0.25985999999999998</v>
      </c>
      <c r="T47" s="37">
        <v>3</v>
      </c>
      <c r="U47" s="37" t="s">
        <v>183</v>
      </c>
      <c r="V47" s="37" t="s">
        <v>183</v>
      </c>
      <c r="W47" s="37" t="s">
        <v>183</v>
      </c>
      <c r="X47" s="37" t="s">
        <v>183</v>
      </c>
      <c r="Y47" s="37" t="s">
        <v>183</v>
      </c>
      <c r="Z47" s="37" t="s">
        <v>183</v>
      </c>
      <c r="AA47" s="37" t="s">
        <v>184</v>
      </c>
      <c r="AB47" s="33" t="s">
        <v>97</v>
      </c>
      <c r="AC47" s="33" t="s">
        <v>184</v>
      </c>
      <c r="AD47" s="33" t="s">
        <v>184</v>
      </c>
      <c r="AE47" s="33" t="s">
        <v>184</v>
      </c>
      <c r="AF47" s="33" t="s">
        <v>184</v>
      </c>
      <c r="AG47" s="33" t="s">
        <v>184</v>
      </c>
      <c r="AH47" s="33" t="s">
        <v>184</v>
      </c>
      <c r="AI47" s="33" t="s">
        <v>303</v>
      </c>
      <c r="AJ47" s="31" t="s">
        <v>305</v>
      </c>
    </row>
    <row r="48" spans="1:39" ht="66">
      <c r="A48" s="33">
        <v>4</v>
      </c>
      <c r="B48" s="33">
        <v>38886420</v>
      </c>
      <c r="C48" s="43" t="s">
        <v>122</v>
      </c>
      <c r="D48" s="43" t="s">
        <v>115</v>
      </c>
      <c r="E48" s="33" t="s">
        <v>47</v>
      </c>
      <c r="F48" s="33" t="s">
        <v>200</v>
      </c>
      <c r="G48" s="33" t="s">
        <v>21</v>
      </c>
      <c r="H48" s="33" t="s">
        <v>30</v>
      </c>
      <c r="I48" s="33" t="s">
        <v>39</v>
      </c>
      <c r="J48" s="35" t="s">
        <v>97</v>
      </c>
      <c r="K48" s="35" t="s">
        <v>181</v>
      </c>
      <c r="L48" s="35" t="s">
        <v>182</v>
      </c>
      <c r="M48" s="35" t="s">
        <v>182</v>
      </c>
      <c r="N48" s="36" t="s">
        <v>24</v>
      </c>
      <c r="O48" s="36" t="s">
        <v>277</v>
      </c>
      <c r="P48" s="36" t="s">
        <v>278</v>
      </c>
      <c r="Q48" s="36" t="s">
        <v>195</v>
      </c>
      <c r="R48" s="37">
        <v>7</v>
      </c>
      <c r="S48" s="37">
        <v>0.51392000000000004</v>
      </c>
      <c r="T48" s="37">
        <v>3</v>
      </c>
      <c r="U48" s="37" t="s">
        <v>183</v>
      </c>
      <c r="V48" s="37" t="s">
        <v>183</v>
      </c>
      <c r="W48" s="37" t="s">
        <v>183</v>
      </c>
      <c r="X48" s="37" t="s">
        <v>183</v>
      </c>
      <c r="Y48" s="37" t="s">
        <v>183</v>
      </c>
      <c r="Z48" s="37" t="s">
        <v>183</v>
      </c>
      <c r="AA48" s="37" t="s">
        <v>184</v>
      </c>
      <c r="AB48" s="33" t="s">
        <v>97</v>
      </c>
      <c r="AC48" s="33" t="s">
        <v>184</v>
      </c>
      <c r="AD48" s="33" t="s">
        <v>184</v>
      </c>
      <c r="AE48" s="33" t="s">
        <v>184</v>
      </c>
      <c r="AF48" s="33" t="s">
        <v>184</v>
      </c>
      <c r="AG48" s="33" t="s">
        <v>184</v>
      </c>
      <c r="AH48" s="33" t="s">
        <v>184</v>
      </c>
      <c r="AI48" s="33" t="s">
        <v>302</v>
      </c>
      <c r="AJ48" s="31" t="s">
        <v>327</v>
      </c>
      <c r="AM48" s="19">
        <f xml:space="preserve"> COUNTIF(AI2:AI50, "Alta")</f>
        <v>11</v>
      </c>
    </row>
    <row r="49" spans="1:39" ht="48">
      <c r="A49" s="33">
        <v>4</v>
      </c>
      <c r="B49" s="33">
        <v>38892649</v>
      </c>
      <c r="C49" s="43" t="s">
        <v>123</v>
      </c>
      <c r="D49" s="43" t="s">
        <v>115</v>
      </c>
      <c r="E49" s="33" t="s">
        <v>47</v>
      </c>
      <c r="F49" s="33" t="s">
        <v>200</v>
      </c>
      <c r="G49" s="33" t="s">
        <v>23</v>
      </c>
      <c r="H49" s="33" t="s">
        <v>43</v>
      </c>
      <c r="I49" s="33" t="s">
        <v>53</v>
      </c>
      <c r="J49" s="35" t="s">
        <v>97</v>
      </c>
      <c r="K49" s="35" t="s">
        <v>181</v>
      </c>
      <c r="L49" s="35" t="s">
        <v>182</v>
      </c>
      <c r="M49" s="35" t="s">
        <v>182</v>
      </c>
      <c r="N49" s="36" t="s">
        <v>24</v>
      </c>
      <c r="O49" s="36" t="s">
        <v>279</v>
      </c>
      <c r="P49" s="36" t="s">
        <v>194</v>
      </c>
      <c r="Q49" s="36" t="s">
        <v>212</v>
      </c>
      <c r="R49" s="37">
        <v>6</v>
      </c>
      <c r="S49" s="37">
        <v>0.11848</v>
      </c>
      <c r="T49" s="37">
        <v>4</v>
      </c>
      <c r="U49" s="37" t="s">
        <v>183</v>
      </c>
      <c r="V49" s="37" t="s">
        <v>183</v>
      </c>
      <c r="W49" s="37" t="s">
        <v>183</v>
      </c>
      <c r="X49" s="37" t="s">
        <v>183</v>
      </c>
      <c r="Y49" s="37" t="s">
        <v>183</v>
      </c>
      <c r="Z49" s="37" t="s">
        <v>183</v>
      </c>
      <c r="AA49" s="37" t="s">
        <v>184</v>
      </c>
      <c r="AB49" s="33" t="s">
        <v>97</v>
      </c>
      <c r="AC49" s="33" t="s">
        <v>184</v>
      </c>
      <c r="AD49" s="33" t="s">
        <v>184</v>
      </c>
      <c r="AE49" s="33" t="s">
        <v>184</v>
      </c>
      <c r="AF49" s="33" t="s">
        <v>184</v>
      </c>
      <c r="AG49" s="33" t="s">
        <v>184</v>
      </c>
      <c r="AH49" s="33" t="s">
        <v>184</v>
      </c>
      <c r="AI49" s="33" t="s">
        <v>302</v>
      </c>
      <c r="AJ49" s="31" t="s">
        <v>328</v>
      </c>
      <c r="AM49" s="19">
        <f xml:space="preserve"> COUNTIF(AI2:AI50, "Mitjana")</f>
        <v>21</v>
      </c>
    </row>
    <row r="50" spans="1:39" ht="64">
      <c r="A50" s="33">
        <v>4</v>
      </c>
      <c r="B50" s="33">
        <v>38905731</v>
      </c>
      <c r="C50" s="43" t="s">
        <v>126</v>
      </c>
      <c r="D50" s="43" t="s">
        <v>115</v>
      </c>
      <c r="E50" s="33" t="s">
        <v>47</v>
      </c>
      <c r="F50" s="33" t="s">
        <v>200</v>
      </c>
      <c r="G50" s="33" t="s">
        <v>23</v>
      </c>
      <c r="H50" s="33" t="s">
        <v>21</v>
      </c>
      <c r="I50" s="33" t="s">
        <v>107</v>
      </c>
      <c r="J50" s="35" t="s">
        <v>97</v>
      </c>
      <c r="K50" s="35" t="s">
        <v>181</v>
      </c>
      <c r="L50" s="35" t="s">
        <v>182</v>
      </c>
      <c r="M50" s="35" t="s">
        <v>182</v>
      </c>
      <c r="N50" s="36" t="s">
        <v>97</v>
      </c>
      <c r="O50" s="36" t="s">
        <v>183</v>
      </c>
      <c r="P50" s="36" t="s">
        <v>183</v>
      </c>
      <c r="Q50" s="36" t="s">
        <v>183</v>
      </c>
      <c r="R50" s="37">
        <v>4</v>
      </c>
      <c r="S50" s="37">
        <v>0.60906000000000005</v>
      </c>
      <c r="T50" s="37">
        <v>24</v>
      </c>
      <c r="U50" s="37" t="s">
        <v>244</v>
      </c>
      <c r="V50" s="37" t="s">
        <v>183</v>
      </c>
      <c r="W50" s="37" t="s">
        <v>183</v>
      </c>
      <c r="X50" s="37" t="s">
        <v>224</v>
      </c>
      <c r="Y50" s="37" t="s">
        <v>280</v>
      </c>
      <c r="Z50" s="37" t="s">
        <v>24</v>
      </c>
      <c r="AA50" s="37" t="s">
        <v>281</v>
      </c>
      <c r="AB50" s="33" t="s">
        <v>97</v>
      </c>
      <c r="AC50" s="33" t="s">
        <v>184</v>
      </c>
      <c r="AD50" s="33" t="s">
        <v>184</v>
      </c>
      <c r="AE50" s="33" t="s">
        <v>184</v>
      </c>
      <c r="AF50" s="33" t="s">
        <v>184</v>
      </c>
      <c r="AG50" s="33" t="s">
        <v>184</v>
      </c>
      <c r="AH50" s="33" t="s">
        <v>184</v>
      </c>
      <c r="AI50" s="33" t="s">
        <v>302</v>
      </c>
      <c r="AJ50" s="31" t="s">
        <v>329</v>
      </c>
      <c r="AM50" s="19">
        <f xml:space="preserve"> COUNTIF(AI2:AI50, "Baixa")</f>
        <v>17</v>
      </c>
    </row>
    <row r="51" spans="1:39" ht="2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44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53"/>
      <c r="AJ51" s="45"/>
    </row>
    <row r="52" spans="1:39" ht="21">
      <c r="H52" s="85"/>
      <c r="I52" s="85"/>
      <c r="O52" s="85"/>
      <c r="P52" s="85"/>
      <c r="AI52" s="54"/>
    </row>
    <row r="53" spans="1:39" ht="21">
      <c r="H53" s="52"/>
      <c r="I53" s="52"/>
      <c r="O53" s="52"/>
      <c r="P53" s="52"/>
      <c r="R53" s="85" t="s">
        <v>286</v>
      </c>
      <c r="S53" s="85"/>
      <c r="AI53" s="54"/>
    </row>
    <row r="54" spans="1:39" ht="21">
      <c r="H54" s="52"/>
      <c r="I54" s="52"/>
      <c r="O54" s="52"/>
      <c r="P54" s="52"/>
      <c r="R54" s="52" t="s">
        <v>289</v>
      </c>
      <c r="S54" s="52">
        <f>19</f>
        <v>19</v>
      </c>
      <c r="AB54" s="83"/>
      <c r="AC54" s="83"/>
      <c r="AI54" s="54"/>
    </row>
    <row r="55" spans="1:39" ht="21">
      <c r="H55" s="52"/>
      <c r="I55" s="52"/>
      <c r="O55" s="52"/>
      <c r="P55" s="52"/>
      <c r="R55" s="52" t="s">
        <v>291</v>
      </c>
      <c r="S55" s="52">
        <f>COUNTIF(R2:R50, "5")</f>
        <v>12</v>
      </c>
      <c r="AI55" s="54"/>
    </row>
    <row r="56" spans="1:39" ht="21">
      <c r="H56" s="52"/>
      <c r="I56" s="52"/>
      <c r="O56" s="52"/>
      <c r="P56" s="52"/>
      <c r="R56" s="52" t="s">
        <v>294</v>
      </c>
      <c r="S56" s="52">
        <f>COUNTIF(R2:R50, "6")</f>
        <v>8</v>
      </c>
      <c r="Z56" s="85" t="s">
        <v>295</v>
      </c>
      <c r="AA56" s="85"/>
      <c r="AI56" s="54"/>
    </row>
    <row r="57" spans="1:39" ht="21">
      <c r="H57" s="52"/>
      <c r="I57" s="52"/>
      <c r="O57" s="52"/>
      <c r="P57" s="52"/>
      <c r="R57" s="52" t="s">
        <v>298</v>
      </c>
      <c r="S57" s="52">
        <f>COUNTIF(R2:R50, "7")</f>
        <v>10</v>
      </c>
      <c r="Z57" s="52" t="s">
        <v>299</v>
      </c>
      <c r="AA57" s="52">
        <f>COUNTIF(AI2:AI50,"Alta")</f>
        <v>11</v>
      </c>
      <c r="AI57" s="54"/>
    </row>
    <row r="58" spans="1:39">
      <c r="H58" s="52"/>
      <c r="I58" s="52"/>
      <c r="O58" s="44"/>
      <c r="P58" s="30"/>
      <c r="R58" s="52" t="s">
        <v>301</v>
      </c>
      <c r="S58" s="52">
        <f>SUM(S55:S57)</f>
        <v>30</v>
      </c>
      <c r="Z58" s="52" t="s">
        <v>302</v>
      </c>
      <c r="AA58" s="52">
        <f>COUNTIF(AI2:AI50, "Mitjana")</f>
        <v>21</v>
      </c>
    </row>
    <row r="59" spans="1:39">
      <c r="Z59" s="52" t="s">
        <v>303</v>
      </c>
      <c r="AA59" s="52">
        <f>COUNTIF(AI2:AI50, "Baixa")</f>
        <v>17</v>
      </c>
    </row>
    <row r="60" spans="1:39">
      <c r="Z60" s="52" t="s">
        <v>304</v>
      </c>
      <c r="AA60" s="52">
        <f>COUNTIF(AI2:AI50, "Externa")</f>
        <v>0</v>
      </c>
    </row>
  </sheetData>
  <mergeCells count="5">
    <mergeCell ref="H52:I52"/>
    <mergeCell ref="O52:P52"/>
    <mergeCell ref="R53:S53"/>
    <mergeCell ref="AB54:AC54"/>
    <mergeCell ref="Z56:AA56"/>
  </mergeCells>
  <conditionalFormatting sqref="AB2:AB9">
    <cfRule type="cellIs" dxfId="10" priority="3" operator="equal">
      <formula>"Y"</formula>
    </cfRule>
  </conditionalFormatting>
  <conditionalFormatting sqref="AB2:AB50">
    <cfRule type="cellIs" dxfId="9" priority="1" operator="equal">
      <formula>"N"</formula>
    </cfRule>
    <cfRule type="cellIs" dxfId="8" priority="2" operator="equal">
      <formula>"NO"</formula>
    </cfRule>
    <cfRule type="cellIs" dxfId="7" priority="4" operator="equal">
      <formula>"Y"</formula>
    </cfRule>
  </conditionalFormatting>
  <conditionalFormatting sqref="AI2:AI50">
    <cfRule type="containsText" dxfId="6" priority="7" operator="containsText" text="Mitjana">
      <formula>NOT(ISERROR(SEARCH("Mitjana",AI2)))</formula>
    </cfRule>
    <cfRule type="containsText" dxfId="5" priority="8" operator="containsText" text="Baixa">
      <formula>NOT(ISERROR(SEARCH("Baixa",AI2)))</formula>
    </cfRule>
    <cfRule type="containsText" dxfId="4" priority="9" operator="containsText" text="Alta">
      <formula>NOT(ISERROR(SEARCH("Alta",AI2)))</formula>
    </cfRule>
    <cfRule type="colorScale" priority="10">
      <colorScale>
        <cfvo type="percent" val="$AI$29"/>
        <cfvo type="percent" val="$AI$26"/>
        <cfvo type="percent" val="$AI$19"/>
        <color rgb="FFFF7128"/>
        <color rgb="FFFFEB84"/>
        <color rgb="FF00B050"/>
      </colorScale>
    </cfRule>
    <cfRule type="containsText" dxfId="3" priority="11" operator="containsText" text="Alta">
      <formula>NOT(ISERROR(SEARCH("Alta",AI2)))</formula>
    </cfRule>
    <cfRule type="cellIs" dxfId="2" priority="12" operator="equal">
      <formula>"Alts"</formula>
    </cfRule>
    <cfRule type="colorScale" priority="13">
      <colorScale>
        <cfvo type="num" val="$AI$29"/>
        <cfvo type="num" val="$AI$13"/>
        <cfvo type="num" val="$AI$7"/>
        <color theme="9" tint="-0.249977111117893"/>
        <color rgb="FFFFEB84"/>
        <color rgb="FF00B050"/>
      </colorScale>
    </cfRule>
    <cfRule type="colorScale" priority="14">
      <colorScale>
        <cfvo type="formula" val="&quot;Baixa&quot;"/>
        <cfvo type="formula" val="&quot;Mitjana&quot;"/>
        <cfvo type="formula" val="&quot;Alta&quot;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50">
    <cfRule type="containsText" dxfId="1" priority="5" operator="containsText" text="Externa">
      <formula>NOT(ISERROR(SEARCH("Externa",AI3)))</formula>
    </cfRule>
  </conditionalFormatting>
  <conditionalFormatting sqref="AI6:AI50">
    <cfRule type="containsText" dxfId="0" priority="6" operator="containsText" text="Reguladora externa">
      <formula>NOT(ISERROR(SEARCH("Reguladora externa",AI6)))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9C2EF"/>
  </sheetPr>
  <dimension ref="A1:G11"/>
  <sheetViews>
    <sheetView zoomScale="114" workbookViewId="0">
      <selection activeCell="B17" sqref="B17"/>
    </sheetView>
  </sheetViews>
  <sheetFormatPr baseColWidth="10" defaultRowHeight="15"/>
  <cols>
    <col min="1" max="1" width="41.6640625" customWidth="1"/>
    <col min="2" max="2" width="25.83203125" customWidth="1"/>
  </cols>
  <sheetData>
    <row r="1" spans="1:7" ht="20">
      <c r="A1" s="65" t="s">
        <v>330</v>
      </c>
      <c r="B1" s="65">
        <v>49</v>
      </c>
      <c r="E1" s="90"/>
      <c r="F1" s="90"/>
      <c r="G1" s="90"/>
    </row>
    <row r="2" spans="1:7" ht="19">
      <c r="A2" s="66" t="s">
        <v>331</v>
      </c>
      <c r="B2" s="66">
        <v>20</v>
      </c>
      <c r="E2" s="88"/>
      <c r="F2" s="89"/>
      <c r="G2" s="61"/>
    </row>
    <row r="3" spans="1:7" ht="19">
      <c r="A3" s="66" t="s">
        <v>332</v>
      </c>
      <c r="B3" s="66">
        <v>13</v>
      </c>
      <c r="E3" s="88"/>
      <c r="F3" s="89"/>
      <c r="G3" s="61"/>
    </row>
    <row r="4" spans="1:7" ht="19">
      <c r="A4" s="63" t="s">
        <v>333</v>
      </c>
      <c r="B4" s="63">
        <v>8</v>
      </c>
      <c r="E4" s="88"/>
      <c r="F4" s="89"/>
      <c r="G4" s="61"/>
    </row>
    <row r="5" spans="1:7" ht="19">
      <c r="A5" s="63" t="s">
        <v>338</v>
      </c>
      <c r="B5" s="63">
        <v>19</v>
      </c>
      <c r="E5" s="61"/>
      <c r="F5" s="61"/>
      <c r="G5" s="61"/>
    </row>
    <row r="6" spans="1:7" ht="19">
      <c r="A6" s="63" t="s">
        <v>347</v>
      </c>
      <c r="B6" s="63">
        <v>4</v>
      </c>
      <c r="E6" s="61"/>
      <c r="F6" s="61"/>
      <c r="G6" s="61"/>
    </row>
    <row r="7" spans="1:7" ht="19">
      <c r="A7" s="86" t="s">
        <v>340</v>
      </c>
      <c r="B7" s="87"/>
      <c r="C7" s="62"/>
      <c r="E7" s="61"/>
      <c r="F7" s="61"/>
      <c r="G7" s="61"/>
    </row>
    <row r="8" spans="1:7" ht="19">
      <c r="A8" s="63" t="s">
        <v>341</v>
      </c>
      <c r="B8" s="63">
        <v>11</v>
      </c>
      <c r="E8" s="61"/>
      <c r="F8" s="61"/>
      <c r="G8" s="61"/>
    </row>
    <row r="9" spans="1:7" ht="19">
      <c r="A9" s="63" t="s">
        <v>302</v>
      </c>
      <c r="B9" s="63">
        <v>21</v>
      </c>
    </row>
    <row r="10" spans="1:7" ht="19">
      <c r="A10" s="63" t="s">
        <v>303</v>
      </c>
      <c r="B10" s="63">
        <v>17</v>
      </c>
    </row>
    <row r="11" spans="1:7" ht="19">
      <c r="A11" s="64"/>
      <c r="B11" s="64"/>
    </row>
  </sheetData>
  <mergeCells count="5">
    <mergeCell ref="A7:B7"/>
    <mergeCell ref="E2:F2"/>
    <mergeCell ref="E1:G1"/>
    <mergeCell ref="E3:F3"/>
    <mergeCell ref="E4:F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79995117038483843"/>
  </sheetPr>
  <dimension ref="A1:D12"/>
  <sheetViews>
    <sheetView zoomScale="68" workbookViewId="0">
      <selection activeCell="B28" sqref="B28"/>
    </sheetView>
  </sheetViews>
  <sheetFormatPr baseColWidth="10" defaultColWidth="8.83203125" defaultRowHeight="15"/>
  <cols>
    <col min="1" max="1" width="11.5" bestFit="1" customWidth="1"/>
    <col min="2" max="2" width="55" customWidth="1"/>
    <col min="3" max="3" width="33.6640625" customWidth="1"/>
    <col min="4" max="4" width="41.1640625" customWidth="1"/>
  </cols>
  <sheetData>
    <row r="1" spans="1:4" ht="16">
      <c r="A1" s="72" t="s">
        <v>334</v>
      </c>
      <c r="B1" s="72" t="s">
        <v>335</v>
      </c>
      <c r="C1" s="72" t="s">
        <v>336</v>
      </c>
      <c r="D1" s="72" t="s">
        <v>18</v>
      </c>
    </row>
    <row r="2" spans="1:4" ht="64">
      <c r="A2" s="70" t="s">
        <v>299</v>
      </c>
      <c r="B2" s="71" t="s">
        <v>353</v>
      </c>
      <c r="C2" s="70" t="s">
        <v>348</v>
      </c>
      <c r="D2" s="71" t="s">
        <v>337</v>
      </c>
    </row>
    <row r="3" spans="1:4" ht="64">
      <c r="A3" s="70" t="s">
        <v>302</v>
      </c>
      <c r="B3" s="71" t="s">
        <v>352</v>
      </c>
      <c r="C3" s="70" t="s">
        <v>349</v>
      </c>
      <c r="D3" s="71" t="s">
        <v>354</v>
      </c>
    </row>
    <row r="4" spans="1:4" ht="48">
      <c r="A4" s="70" t="s">
        <v>303</v>
      </c>
      <c r="B4" s="71" t="s">
        <v>351</v>
      </c>
      <c r="C4" s="70" t="s">
        <v>350</v>
      </c>
      <c r="D4" s="71" t="s">
        <v>355</v>
      </c>
    </row>
    <row r="10" spans="1:4" ht="16">
      <c r="A10" s="91"/>
      <c r="B10" s="91"/>
      <c r="C10" s="91"/>
      <c r="D10" s="91"/>
    </row>
    <row r="11" spans="1:4" ht="16">
      <c r="A11" s="91"/>
      <c r="B11" s="91"/>
      <c r="C11" s="91"/>
      <c r="D11" s="91"/>
    </row>
    <row r="12" spans="1:4" ht="16">
      <c r="A12" s="91"/>
      <c r="B12" s="91"/>
      <c r="C12" s="91"/>
      <c r="D12" s="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Dataset_base</vt:lpstr>
      <vt:lpstr>Descripció_columnes</vt:lpstr>
      <vt:lpstr>SNP_selected</vt:lpstr>
      <vt:lpstr>Summary_gene</vt:lpstr>
      <vt:lpstr>Summary_region</vt:lpstr>
      <vt:lpstr>Summary_allelic_change</vt:lpstr>
      <vt:lpstr>Functional_study</vt:lpstr>
      <vt:lpstr>Functional_study_sense_recompte</vt:lpstr>
      <vt:lpstr>Resum_resultats</vt:lpstr>
      <vt:lpstr>Criteris_prioritat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Donés Guillamet</cp:lastModifiedBy>
  <dcterms:created xsi:type="dcterms:W3CDTF">2026-05-23T22:57:06Z</dcterms:created>
  <dcterms:modified xsi:type="dcterms:W3CDTF">2026-05-25T20:08:49Z</dcterms:modified>
</cp:coreProperties>
</file>